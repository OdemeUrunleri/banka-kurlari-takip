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'GRAFIK_VERILERI'!$B$2:$B$22</f>
              <numCache>
                <formatCode>0.00%</formatCode>
                <ptCount val="2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'GRAFIK_VERILERI'!$C$2:$C$22</f>
              <numCache>
                <formatCode>0.00%</formatCode>
                <ptCount val="2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'GRAFIK_VERILERI'!$D$2:$D$22</f>
              <numCache>
                <formatCode>0.00%</formatCode>
                <ptCount val="2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'GRAFIK_VERILERI'!$E$2:$E$22</f>
              <numCache>
                <formatCode>0.00%</formatCode>
                <ptCount val="2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'GRAFIK_VERILERI'!$F$2:$F$22</f>
              <numCache>
                <formatCode>0.00%</formatCode>
                <ptCount val="2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493316506896"/>
          <min val="0.0122484370616639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'GRAFIK_VERILERI'!$G$2:$G$22</f>
              <numCache>
                <formatCode>0.00%</formatCode>
                <ptCount val="2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'GRAFIK_VERILERI'!$H$2:$H$22</f>
              <numCache>
                <formatCode>0.00%</formatCode>
                <ptCount val="2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'GRAFIK_VERILERI'!$I$2:$I$22</f>
              <numCache>
                <formatCode>0.00%</formatCode>
                <ptCount val="2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'GRAFIK_VERILERI'!$J$2:$J$22</f>
              <numCache>
                <formatCode>0.00%</formatCode>
                <ptCount val="2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'GRAFIK_VERILERI'!$K$2:$K$22</f>
              <numCache>
                <formatCode>0.00%</formatCode>
                <ptCount val="2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'GRAFIK_VERILERI'!$L$2:$L$22</f>
              <numCache>
                <formatCode>0.00%</formatCode>
                <ptCount val="2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'GRAFIK_VERILERI'!$M$2:$M$22</f>
              <numCache>
                <formatCode>0.00%</formatCode>
                <ptCount val="2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'GRAFIK_VERILERI'!$N$2:$N$22</f>
              <numCache>
                <formatCode>0.00%</formatCode>
                <ptCount val="2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'GRAFIK_VERILERI'!$O$2:$O$22</f>
              <numCache>
                <formatCode>0.00%</formatCode>
                <ptCount val="2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'GRAFIK_VERILERI'!$P$2:$P$22</f>
              <numCache>
                <formatCode>0.00%</formatCode>
                <ptCount val="2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0.03162628452477723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0.03517004987520983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0.02798862802223535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0.02979445169451516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0.03157483163717196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55033848834789"/>
          <min val="0.0250457962223076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0.03162761063695057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0.03529781400463845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0.02627822801551986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0.02979462451305551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0.03169477693938044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22433992507833"/>
          <min val="0.0225026482012296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0.04485572737170727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0.04750281017806048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0.04071519137147349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0.04948503097399939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0.05153773846587733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8762730507676"/>
          <min val="0.031563745935043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'GRAFIK_VERILERI'!$B$2:$B$22</f>
              <numCache>
                <formatCode>0.00%</formatCode>
                <ptCount val="2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386716591407"/>
          <min val="0.0253604359205831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'GRAFIK_VERILERI'!$G$2:$G$22</f>
              <numCache>
                <formatCode>0.00%</formatCode>
                <ptCount val="2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1151957842237"/>
          <min val="0.0253539742902814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'GRAFIK_VERILERI'!$L$2:$L$22</f>
              <numCache>
                <formatCode>0.00%</formatCode>
                <ptCount val="2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396041140446"/>
          <min val="0.0301308326436016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'GRAFIK_VERILERI'!$C$2:$C$22</f>
              <numCache>
                <formatCode>0.00%</formatCode>
                <ptCount val="2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5522167410662"/>
          <min val="0.0222862202686823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'GRAFIK_VERILERI'!$H$2:$H$22</f>
              <numCache>
                <formatCode>0.00%</formatCode>
                <ptCount val="2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824431467956"/>
          <min val="0.0222436119581000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'GRAFIK_VERILERI'!$M$2:$M$22</f>
              <numCache>
                <formatCode>0.00%</formatCode>
                <ptCount val="2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8637537595665"/>
          <min val="0.0259987871670242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'GRAFIK_VERILERI'!$D$2:$D$22</f>
              <numCache>
                <formatCode>0.00%</formatCode>
                <ptCount val="2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836726024003"/>
          <min val="0.010845541119410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'GRAFIK_VERILERI'!$I$2:$I$22</f>
              <numCache>
                <formatCode>0.00%</formatCode>
                <ptCount val="2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'GRAFIK_VERILERI'!$N$2:$N$22</f>
              <numCache>
                <formatCode>0.00%</formatCode>
                <ptCount val="2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'GRAFIK_VERILERI'!$E$2:$E$22</f>
              <numCache>
                <formatCode>0.00%</formatCode>
                <ptCount val="2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'GRAFIK_VERILERI'!$J$2:$J$22</f>
              <numCache>
                <formatCode>0.00%</formatCode>
                <ptCount val="2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'GRAFIK_VERILERI'!$O$2:$O$22</f>
              <numCache>
                <formatCode>0.00%</formatCode>
                <ptCount val="2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'GRAFIK_VERILERI'!$F$2:$F$22</f>
              <numCache>
                <formatCode>0.00%</formatCode>
                <ptCount val="2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'GRAFIK_VERILERI'!$K$2:$K$22</f>
              <numCache>
                <formatCode>0.00%</formatCode>
                <ptCount val="2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'GRAFIK_VERILERI'!$A$2:$A$22</f>
              <strCache>
                <ptCount val="2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</strCache>
            </strRef>
          </cat>
          <val>
            <numRef>
              <f>'GRAFIK_VERILERI'!$P$2:$P$22</f>
              <numCache>
                <formatCode>0.00%</formatCode>
                <ptCount val="2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269" headerRowCount="1">
  <autoFilter ref="A1:N226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table" Target="/xl/tables/table2.xml" Id="rId226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46282</v>
      </c>
      <c r="B2" s="6" t="n">
        <v>0.4735300925925926</v>
      </c>
      <c r="C2" s="7" t="inlineStr">
        <is>
          <t>Akbank</t>
        </is>
      </c>
      <c r="D2" s="8" t="n">
        <v>47.879</v>
      </c>
      <c r="E2" s="8" t="n">
        <v>49.229</v>
      </c>
      <c r="F2" s="8" t="n">
        <v>1.35</v>
      </c>
      <c r="G2" s="9" t="n">
        <v>0.02819607761231437</v>
      </c>
      <c r="H2" s="10" t="n">
        <v>54.9122</v>
      </c>
      <c r="I2" s="10" t="n">
        <v>56.4654</v>
      </c>
      <c r="J2" s="10" t="n">
        <v>1.5532</v>
      </c>
      <c r="K2" s="11" t="n">
        <v>0.02828515339032128</v>
      </c>
      <c r="L2" s="12" t="n">
        <v>6577.48</v>
      </c>
      <c r="M2" s="12" t="n">
        <v>6813.31</v>
      </c>
      <c r="N2" s="12" t="n">
        <v>235.83</v>
      </c>
      <c r="O2" s="13" t="n">
        <v>0.03585415691115747</v>
      </c>
    </row>
    <row r="3">
      <c r="A3" s="5" t="n">
        <v>46282</v>
      </c>
      <c r="B3" s="6" t="n">
        <v>0.4735300925925926</v>
      </c>
      <c r="C3" s="14" t="inlineStr">
        <is>
          <t>Albaraka Türk</t>
        </is>
      </c>
      <c r="D3" s="8" t="n">
        <v>48.275</v>
      </c>
      <c r="E3" s="8" t="n">
        <v>49.055</v>
      </c>
      <c r="F3" s="8" t="n">
        <v>0.78</v>
      </c>
      <c r="G3" s="9" t="n">
        <v>0.01615743138270326</v>
      </c>
      <c r="H3" s="10" t="n">
        <v>55.366</v>
      </c>
      <c r="I3" s="10" t="n">
        <v>56.281</v>
      </c>
      <c r="J3" s="10" t="n">
        <v>0.915</v>
      </c>
      <c r="K3" s="11" t="n">
        <v>0.01652638803597876</v>
      </c>
      <c r="L3" s="12" t="n">
        <v>6651.96</v>
      </c>
      <c r="M3" s="12" t="n">
        <v>6787.79</v>
      </c>
      <c r="N3" s="12" t="n">
        <v>135.83</v>
      </c>
      <c r="O3" s="13" t="n">
        <v>0.02041954551741141</v>
      </c>
    </row>
    <row r="4">
      <c r="A4" s="5" t="n">
        <v>46282</v>
      </c>
      <c r="B4" s="6" t="n">
        <v>0.4735300925925926</v>
      </c>
      <c r="C4" s="15" t="inlineStr">
        <is>
          <t>Alternatif Bank</t>
        </is>
      </c>
      <c r="D4" s="8" t="n">
        <v>48.461</v>
      </c>
      <c r="E4" s="8" t="n">
        <v>48.749</v>
      </c>
      <c r="F4" s="8" t="n">
        <v>0.288</v>
      </c>
      <c r="G4" s="9" t="n">
        <v>0.005942923175336868</v>
      </c>
      <c r="H4" s="10" t="n">
        <v>55.412</v>
      </c>
      <c r="I4" s="10" t="n">
        <v>55.916</v>
      </c>
      <c r="J4" s="10" t="n">
        <v>0.504</v>
      </c>
      <c r="K4" s="11" t="n">
        <v>0.009095502779181405</v>
      </c>
      <c r="L4" s="12" t="n">
        <v>6720.35</v>
      </c>
      <c r="M4" s="12" t="n">
        <v>6787.28</v>
      </c>
      <c r="N4" s="12" t="n">
        <v>66.93000000000001</v>
      </c>
      <c r="O4" s="13" t="n">
        <v>0.009959302714888362</v>
      </c>
    </row>
    <row r="5">
      <c r="A5" s="5" t="n">
        <v>46282</v>
      </c>
      <c r="B5" s="6" t="n">
        <v>0.4735300925925926</v>
      </c>
      <c r="C5" s="16" t="inlineStr">
        <is>
          <t>Altınkaynak</t>
        </is>
      </c>
      <c r="D5" s="8" t="n">
        <v>48.65</v>
      </c>
      <c r="E5" s="8" t="n">
        <v>48.86</v>
      </c>
      <c r="F5" s="8" t="n">
        <v>0.21</v>
      </c>
      <c r="G5" s="9" t="n">
        <v>0.004316546762589928</v>
      </c>
      <c r="H5" s="10" t="n">
        <v>55.676</v>
      </c>
      <c r="I5" s="10" t="n">
        <v>56.045</v>
      </c>
      <c r="J5" s="10" t="n">
        <v>0.369</v>
      </c>
      <c r="K5" s="11" t="n">
        <v>0.006627631295351678</v>
      </c>
      <c r="L5" s="12" t="n">
        <v>6681.08</v>
      </c>
      <c r="M5" s="12" t="n">
        <v>6840</v>
      </c>
      <c r="N5" s="12" t="n">
        <v>158.92</v>
      </c>
      <c r="O5" s="13" t="n">
        <v>0.02378657342824813</v>
      </c>
    </row>
    <row r="6">
      <c r="A6" s="5" t="n">
        <v>46282</v>
      </c>
      <c r="B6" s="6" t="n">
        <v>0.4735300925925926</v>
      </c>
      <c r="C6" s="17" t="inlineStr">
        <is>
          <t>Anadolubank</t>
        </is>
      </c>
      <c r="D6" s="8" t="n">
        <v>47.8306</v>
      </c>
      <c r="E6" s="8" t="n">
        <v>49.1072</v>
      </c>
      <c r="F6" s="8" t="n">
        <v>1.2766</v>
      </c>
      <c r="G6" s="9" t="n">
        <v>0.0266900268865538</v>
      </c>
      <c r="H6" s="10" t="n">
        <v>54.9493</v>
      </c>
      <c r="I6" s="10" t="n">
        <v>56.3212</v>
      </c>
      <c r="J6" s="10" t="n">
        <v>1.3719</v>
      </c>
      <c r="K6" s="11" t="n">
        <v>0.02496665107653782</v>
      </c>
      <c r="L6" s="12" t="n">
        <v>6635.4</v>
      </c>
      <c r="M6" s="12" t="n">
        <v>6791.48</v>
      </c>
      <c r="N6" s="12" t="n">
        <v>156.08</v>
      </c>
      <c r="O6" s="13" t="n">
        <v>0.0235223196792959</v>
      </c>
    </row>
    <row r="7">
      <c r="A7" s="5" t="n">
        <v>46282</v>
      </c>
      <c r="B7" s="6" t="n">
        <v>0.4735300925925926</v>
      </c>
      <c r="C7" s="18" t="inlineStr">
        <is>
          <t>CEPTETEB</t>
        </is>
      </c>
      <c r="D7" s="8" t="n">
        <v>47.672</v>
      </c>
      <c r="E7" s="8" t="n">
        <v>49.61</v>
      </c>
      <c r="F7" s="8" t="n">
        <v>1.938</v>
      </c>
      <c r="G7" s="9" t="n">
        <v>0.04065279409296862</v>
      </c>
      <c r="H7" s="10" t="n">
        <v>54.68</v>
      </c>
      <c r="I7" s="10" t="n">
        <v>56.912</v>
      </c>
      <c r="J7" s="10" t="n">
        <v>2.232</v>
      </c>
      <c r="K7" s="11" t="n">
        <v>0.04081931236283833</v>
      </c>
      <c r="L7" s="12" t="n">
        <v>6634.24</v>
      </c>
      <c r="M7" s="12" t="n">
        <v>6830.06</v>
      </c>
      <c r="N7" s="12" t="n">
        <v>195.82</v>
      </c>
      <c r="O7" s="13" t="n">
        <v>0.02951656858961991</v>
      </c>
    </row>
    <row r="8">
      <c r="A8" s="5" t="n">
        <v>46282</v>
      </c>
      <c r="B8" s="6" t="n">
        <v>0.4735300925925926</v>
      </c>
      <c r="C8" s="19" t="inlineStr">
        <is>
          <t>Denizbank</t>
        </is>
      </c>
      <c r="D8" s="8" t="n">
        <v>47.9319</v>
      </c>
      <c r="E8" s="8" t="n">
        <v>49.332</v>
      </c>
      <c r="F8" s="8" t="n">
        <v>1.4001</v>
      </c>
      <c r="G8" s="9" t="n">
        <v>0.02921019195984303</v>
      </c>
      <c r="H8" s="10" t="n">
        <v>54.9832</v>
      </c>
      <c r="I8" s="10" t="n">
        <v>56.5942</v>
      </c>
      <c r="J8" s="10" t="n">
        <v>1.611</v>
      </c>
      <c r="K8" s="11" t="n">
        <v>0.02929985886598088</v>
      </c>
      <c r="L8" s="12" t="n">
        <v>6652.69</v>
      </c>
      <c r="M8" s="12" t="n">
        <v>6848.06</v>
      </c>
      <c r="N8" s="12" t="n">
        <v>195.37</v>
      </c>
      <c r="O8" s="13" t="n">
        <v>0.02936706805818398</v>
      </c>
    </row>
    <row r="9">
      <c r="A9" s="5" t="n">
        <v>46282</v>
      </c>
      <c r="B9" s="6" t="n">
        <v>0.4735300925925926</v>
      </c>
      <c r="C9" s="20" t="inlineStr">
        <is>
          <t>DestekBank</t>
        </is>
      </c>
      <c r="D9" s="8" t="n">
        <v>48.6016</v>
      </c>
      <c r="E9" s="8" t="n">
        <v>48.6594</v>
      </c>
      <c r="F9" s="8" t="n">
        <v>0.0578</v>
      </c>
      <c r="G9" s="9" t="n">
        <v>0.001189261258888596</v>
      </c>
      <c r="H9" s="10" t="n">
        <v>55.7349</v>
      </c>
      <c r="I9" s="10" t="n">
        <v>55.8186</v>
      </c>
      <c r="J9" s="10" t="n">
        <v>0.0837</v>
      </c>
      <c r="K9" s="11" t="n">
        <v>0.001501752044051393</v>
      </c>
      <c r="L9" s="12" t="n">
        <v>6697.23</v>
      </c>
      <c r="M9" s="12" t="n">
        <v>6726.15</v>
      </c>
      <c r="N9" s="12" t="n">
        <v>28.92</v>
      </c>
      <c r="O9" s="13" t="n">
        <v>0.00431820319744133</v>
      </c>
    </row>
    <row r="10">
      <c r="A10" s="5" t="n">
        <v>46282</v>
      </c>
      <c r="B10" s="6" t="n">
        <v>0.4735300925925926</v>
      </c>
      <c r="C10" s="21" t="inlineStr">
        <is>
          <t>Dünya Katılım</t>
        </is>
      </c>
      <c r="D10" s="8" t="n">
        <v>48.5855</v>
      </c>
      <c r="E10" s="8" t="n">
        <v>48.6768</v>
      </c>
      <c r="F10" s="8" t="n">
        <v>0.09130000000000001</v>
      </c>
      <c r="G10" s="9" t="n">
        <v>0.00187916147821881</v>
      </c>
      <c r="H10" s="10" t="n">
        <v>55.6621</v>
      </c>
      <c r="I10" s="10" t="n">
        <v>55.8666</v>
      </c>
      <c r="J10" s="10" t="n">
        <v>0.2045</v>
      </c>
      <c r="K10" s="11" t="n">
        <v>0.003673954090844578</v>
      </c>
      <c r="L10" s="12" t="n">
        <v>6694.6</v>
      </c>
      <c r="M10" s="12" t="n">
        <v>6730.39</v>
      </c>
      <c r="N10" s="12" t="n">
        <v>35.79</v>
      </c>
      <c r="O10" s="13" t="n">
        <v>0.00534609984166343</v>
      </c>
    </row>
    <row r="11">
      <c r="A11" s="5" t="n">
        <v>46282</v>
      </c>
      <c r="B11" s="6" t="n">
        <v>0.4735300925925926</v>
      </c>
      <c r="C11" s="22" t="inlineStr">
        <is>
          <t>Emlak Katılım</t>
        </is>
      </c>
      <c r="D11" s="8" t="n">
        <v>48.2995</v>
      </c>
      <c r="E11" s="8" t="n">
        <v>49.5463</v>
      </c>
      <c r="F11" s="8" t="n">
        <v>1.2468</v>
      </c>
      <c r="G11" s="9" t="n">
        <v>0.02581393182124038</v>
      </c>
      <c r="H11" s="10" t="n">
        <v>55.275</v>
      </c>
      <c r="I11" s="10" t="n">
        <v>56.558</v>
      </c>
      <c r="J11" s="10" t="n">
        <v>1.283</v>
      </c>
      <c r="K11" s="11" t="n">
        <v>0.02321121664405247</v>
      </c>
      <c r="L11" s="12" t="n">
        <v>6658.63</v>
      </c>
      <c r="M11" s="12" t="n">
        <v>6767.88</v>
      </c>
      <c r="N11" s="12" t="n">
        <v>109.25</v>
      </c>
      <c r="O11" s="13" t="n">
        <v>0.01640727897480413</v>
      </c>
    </row>
    <row r="12">
      <c r="A12" s="5" t="n">
        <v>46282</v>
      </c>
      <c r="B12" s="6" t="n">
        <v>0.4735300925925926</v>
      </c>
      <c r="C12" s="23" t="inlineStr">
        <is>
          <t>Enpara</t>
        </is>
      </c>
      <c r="D12" s="8" t="n">
        <v>48.2255</v>
      </c>
      <c r="E12" s="8" t="n">
        <v>49.0755</v>
      </c>
      <c r="F12" s="8" t="n">
        <v>0.85</v>
      </c>
      <c r="G12" s="9" t="n">
        <v>0.01762553006189671</v>
      </c>
      <c r="H12" s="10" t="n">
        <v>55.2317</v>
      </c>
      <c r="I12" s="10" t="n">
        <v>56.3839</v>
      </c>
      <c r="J12" s="10" t="n">
        <v>1.1522</v>
      </c>
      <c r="K12" s="11" t="n">
        <v>0.02086120832782623</v>
      </c>
      <c r="L12" s="12" t="n">
        <v>6649.34</v>
      </c>
      <c r="M12" s="12" t="n">
        <v>6796.28</v>
      </c>
      <c r="N12" s="12" t="n">
        <v>146.94</v>
      </c>
      <c r="O12" s="13" t="n">
        <v>0.02209843382952293</v>
      </c>
    </row>
    <row r="13">
      <c r="A13" s="5" t="n">
        <v>46282</v>
      </c>
      <c r="B13" s="6" t="n">
        <v>0.4735300925925926</v>
      </c>
      <c r="C13" s="24" t="inlineStr">
        <is>
          <t>Fibabanka</t>
        </is>
      </c>
      <c r="D13" s="8" t="n">
        <v>48.3755</v>
      </c>
      <c r="E13" s="8" t="n">
        <v>48.9828</v>
      </c>
      <c r="F13" s="8" t="n">
        <v>0.6073</v>
      </c>
      <c r="G13" s="9" t="n">
        <v>0.01255387541214044</v>
      </c>
      <c r="H13" s="10" t="n">
        <v>55.4928</v>
      </c>
      <c r="I13" s="10" t="n">
        <v>56.1554</v>
      </c>
      <c r="J13" s="10" t="n">
        <v>0.6626</v>
      </c>
      <c r="K13" s="11" t="n">
        <v>0.01194028774904132</v>
      </c>
      <c r="L13" s="12" t="n">
        <v>6725.26</v>
      </c>
      <c r="M13" s="12" t="n">
        <v>6779.57</v>
      </c>
      <c r="N13" s="12" t="n">
        <v>54.31</v>
      </c>
      <c r="O13" s="13" t="n">
        <v>0.008075524217651064</v>
      </c>
    </row>
    <row r="14">
      <c r="A14" s="5" t="n">
        <v>46282</v>
      </c>
      <c r="B14" s="6" t="n">
        <v>0.4735300925925926</v>
      </c>
      <c r="C14" s="25" t="inlineStr">
        <is>
          <t>Garanti BBVA</t>
        </is>
      </c>
      <c r="D14" s="8" t="n">
        <v>47.832</v>
      </c>
      <c r="E14" s="8" t="n">
        <v>49.182</v>
      </c>
      <c r="F14" s="8" t="n">
        <v>1.35</v>
      </c>
      <c r="G14" s="9" t="n">
        <v>0.0282237832413447</v>
      </c>
      <c r="H14" s="10" t="n">
        <v>54.856</v>
      </c>
      <c r="I14" s="10" t="n">
        <v>56.404</v>
      </c>
      <c r="J14" s="10" t="n">
        <v>1.548</v>
      </c>
      <c r="K14" s="11" t="n">
        <v>0.02821933790287298</v>
      </c>
      <c r="L14" s="12" t="n">
        <v>6618.11</v>
      </c>
      <c r="M14" s="12" t="n">
        <v>6862.27</v>
      </c>
      <c r="N14" s="12" t="n">
        <v>244.16</v>
      </c>
      <c r="O14" s="13" t="n">
        <v>0.03689270803900208</v>
      </c>
    </row>
    <row r="15">
      <c r="A15" s="5" t="n">
        <v>46282</v>
      </c>
      <c r="B15" s="6" t="n">
        <v>0.4735300925925926</v>
      </c>
      <c r="C15" s="26" t="inlineStr">
        <is>
          <t>Getirfinans</t>
        </is>
      </c>
      <c r="D15" s="8" t="n">
        <v>48.3756</v>
      </c>
      <c r="E15" s="8" t="n">
        <v>48.9828</v>
      </c>
      <c r="F15" s="8" t="n">
        <v>0.6072</v>
      </c>
      <c r="G15" s="9" t="n">
        <v>0.0125517823034753</v>
      </c>
      <c r="H15" s="10" t="n">
        <v>55.4948</v>
      </c>
      <c r="I15" s="10" t="n">
        <v>56.1574</v>
      </c>
      <c r="J15" s="10" t="n">
        <v>0.6626</v>
      </c>
      <c r="K15" s="11" t="n">
        <v>0.01193985742808335</v>
      </c>
      <c r="L15" s="12" t="n">
        <v>6720.93</v>
      </c>
      <c r="M15" s="12" t="n">
        <v>6775.28</v>
      </c>
      <c r="N15" s="12" t="n">
        <v>54.35</v>
      </c>
      <c r="O15" s="13" t="n">
        <v>0.008086678480507906</v>
      </c>
    </row>
    <row r="16">
      <c r="A16" s="5" t="n">
        <v>46282</v>
      </c>
      <c r="B16" s="6" t="n">
        <v>0.4735300925925926</v>
      </c>
      <c r="C16" s="27" t="inlineStr">
        <is>
          <t>Halkbank</t>
        </is>
      </c>
      <c r="D16" s="8" t="n">
        <v>48.245</v>
      </c>
      <c r="E16" s="8" t="n">
        <v>49.225</v>
      </c>
      <c r="F16" s="8" t="n">
        <v>0.98</v>
      </c>
      <c r="G16" s="9" t="n">
        <v>0.02031298580163748</v>
      </c>
      <c r="H16" s="10" t="n">
        <v>55.3346</v>
      </c>
      <c r="I16" s="10" t="n">
        <v>56.4586</v>
      </c>
      <c r="J16" s="10" t="n">
        <v>1.124</v>
      </c>
      <c r="K16" s="11" t="n">
        <v>0.02031278802051519</v>
      </c>
      <c r="L16" s="12" t="n">
        <v>6651.79</v>
      </c>
      <c r="M16" s="12" t="n">
        <v>6855</v>
      </c>
      <c r="N16" s="12" t="n">
        <v>203.21</v>
      </c>
      <c r="O16" s="13" t="n">
        <v>0.0305496715921579</v>
      </c>
    </row>
    <row r="17">
      <c r="A17" s="5" t="n">
        <v>46282</v>
      </c>
      <c r="B17" s="6" t="n">
        <v>0.4735300925925926</v>
      </c>
      <c r="C17" s="28" t="inlineStr">
        <is>
          <t>Harem</t>
        </is>
      </c>
      <c r="D17" s="8" t="n">
        <v>48.68</v>
      </c>
      <c r="E17" s="8" t="n">
        <v>48.725</v>
      </c>
      <c r="F17" s="8" t="n">
        <v>0.045</v>
      </c>
      <c r="G17" s="9" t="n">
        <v>0.0009244042728019721</v>
      </c>
      <c r="H17" s="10" t="n">
        <v>55.721</v>
      </c>
      <c r="I17" s="10" t="n">
        <v>55.853</v>
      </c>
      <c r="J17" s="10" t="n">
        <v>0.132</v>
      </c>
      <c r="K17" s="11" t="n">
        <v>0.002368945280953321</v>
      </c>
      <c r="L17" s="12" t="n">
        <v>6696.77</v>
      </c>
      <c r="M17" s="12" t="n">
        <v>6773.64</v>
      </c>
      <c r="N17" s="12" t="n">
        <v>76.87</v>
      </c>
      <c r="O17" s="13" t="n">
        <v>0.01147866807431045</v>
      </c>
    </row>
    <row r="18">
      <c r="A18" s="5" t="n">
        <v>46282</v>
      </c>
      <c r="B18" s="6" t="n">
        <v>0.4735300925925926</v>
      </c>
      <c r="C18" s="29" t="inlineStr">
        <is>
          <t>Hayat Finans</t>
        </is>
      </c>
      <c r="D18" s="8" t="n">
        <v>48.5955</v>
      </c>
      <c r="E18" s="8" t="n">
        <v>48.7426</v>
      </c>
      <c r="F18" s="8" t="n">
        <v>0.1471</v>
      </c>
      <c r="G18" s="9" t="n">
        <v>0.003027029251679682</v>
      </c>
      <c r="H18" s="10" t="n">
        <v>55.7305</v>
      </c>
      <c r="I18" s="10" t="n">
        <v>55.9011</v>
      </c>
      <c r="J18" s="10" t="n">
        <v>0.1706</v>
      </c>
      <c r="K18" s="11" t="n">
        <v>0.003061160405881878</v>
      </c>
      <c r="L18" s="12" t="n">
        <v>6709.66</v>
      </c>
      <c r="M18" s="12" t="n">
        <v>6757.07</v>
      </c>
      <c r="N18" s="12" t="n">
        <v>47.41</v>
      </c>
      <c r="O18" s="13" t="n">
        <v>0.007065931805784496</v>
      </c>
    </row>
    <row r="19">
      <c r="A19" s="5" t="n">
        <v>46282</v>
      </c>
      <c r="B19" s="6" t="n">
        <v>0.4735300925925926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6648.63</v>
      </c>
      <c r="M19" s="12" t="n">
        <v>6842.87</v>
      </c>
      <c r="N19" s="12" t="n">
        <v>194.24</v>
      </c>
      <c r="O19" s="13" t="n">
        <v>0.02921504129422152</v>
      </c>
    </row>
    <row r="20">
      <c r="A20" s="5" t="n">
        <v>46282</v>
      </c>
      <c r="B20" s="6" t="n">
        <v>0.4735300925925926</v>
      </c>
      <c r="C20" s="31" t="inlineStr">
        <is>
          <t>HSBC</t>
        </is>
      </c>
      <c r="D20" s="8" t="n">
        <v>48.1837</v>
      </c>
      <c r="E20" s="8" t="n">
        <v>49.067</v>
      </c>
      <c r="F20" s="8" t="n">
        <v>0.8833</v>
      </c>
      <c r="G20" s="9" t="n">
        <v>0.01833192552668226</v>
      </c>
      <c r="H20" s="10" t="n">
        <v>55.2678</v>
      </c>
      <c r="I20" s="10" t="n">
        <v>56.3187</v>
      </c>
      <c r="J20" s="10" t="n">
        <v>1.0509</v>
      </c>
      <c r="K20" s="11" t="n">
        <v>0.01901468848045336</v>
      </c>
      <c r="L20" s="12" t="n">
        <v>6652.5</v>
      </c>
      <c r="M20" s="12" t="n">
        <v>7098.29</v>
      </c>
      <c r="N20" s="12" t="n">
        <v>445.79</v>
      </c>
      <c r="O20" s="13" t="n">
        <v>0.06701089815858699</v>
      </c>
    </row>
    <row r="21">
      <c r="A21" s="5" t="n">
        <v>46282</v>
      </c>
      <c r="B21" s="6" t="n">
        <v>0.4735300925925926</v>
      </c>
      <c r="C21" s="32" t="inlineStr">
        <is>
          <t>ING Bank</t>
        </is>
      </c>
      <c r="D21" s="8" t="n">
        <v>48.1287</v>
      </c>
      <c r="E21" s="8" t="n">
        <v>49.1331</v>
      </c>
      <c r="F21" s="8" t="n">
        <v>1.0044</v>
      </c>
      <c r="G21" s="9" t="n">
        <v>0.02086904487343311</v>
      </c>
      <c r="H21" s="10" t="n">
        <v>55.274</v>
      </c>
      <c r="I21" s="10" t="n">
        <v>56.2826</v>
      </c>
      <c r="J21" s="10" t="n">
        <v>1.0086</v>
      </c>
      <c r="K21" s="11" t="n">
        <v>0.01824727720085393</v>
      </c>
      <c r="L21" s="12" t="n">
        <v>6621.53</v>
      </c>
      <c r="M21" s="12" t="n">
        <v>6873.43</v>
      </c>
      <c r="N21" s="12" t="n">
        <v>251.9</v>
      </c>
      <c r="O21" s="13" t="n">
        <v>0.03804256720123597</v>
      </c>
    </row>
    <row r="22">
      <c r="A22" s="5" t="n">
        <v>46282</v>
      </c>
      <c r="B22" s="6" t="n">
        <v>0.4735300925925926</v>
      </c>
      <c r="C22" s="33" t="inlineStr">
        <is>
          <t>İş Bankası</t>
        </is>
      </c>
      <c r="D22" s="8" t="n">
        <v>48.0524</v>
      </c>
      <c r="E22" s="8" t="n">
        <v>49.2156</v>
      </c>
      <c r="F22" s="8" t="n">
        <v>1.1632</v>
      </c>
      <c r="G22" s="9" t="n">
        <v>0.02420690745935687</v>
      </c>
      <c r="H22" s="10" t="n">
        <v>55.1065</v>
      </c>
      <c r="I22" s="10" t="n">
        <v>56.4454</v>
      </c>
      <c r="J22" s="10" t="n">
        <v>1.3389</v>
      </c>
      <c r="K22" s="11" t="n">
        <v>0.02429658933156706</v>
      </c>
      <c r="L22" s="12" t="n">
        <v>6643.87</v>
      </c>
      <c r="M22" s="12" t="n">
        <v>6826.24</v>
      </c>
      <c r="N22" s="12" t="n">
        <v>182.37</v>
      </c>
      <c r="O22" s="13" t="n">
        <v>0.02744936309711057</v>
      </c>
    </row>
    <row r="23">
      <c r="A23" s="5" t="n">
        <v>46282</v>
      </c>
      <c r="B23" s="6" t="n">
        <v>0.4735300925925926</v>
      </c>
      <c r="C23" s="34" t="inlineStr">
        <is>
          <t>Kapalıçarşı</t>
        </is>
      </c>
      <c r="D23" s="8" t="n">
        <v>48.7</v>
      </c>
      <c r="E23" s="8" t="n">
        <v>48.71</v>
      </c>
      <c r="F23" s="8" t="n">
        <v>0.01</v>
      </c>
      <c r="G23" s="9" t="n">
        <v>0.0002053388090349076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6773.23</v>
      </c>
      <c r="M23" s="12" t="n">
        <v>6779.51</v>
      </c>
      <c r="N23" s="12" t="n">
        <v>6.28</v>
      </c>
      <c r="O23" s="13" t="n">
        <v>0.0009271794992935424</v>
      </c>
    </row>
    <row r="24">
      <c r="A24" s="5" t="n">
        <v>46282</v>
      </c>
      <c r="B24" s="6" t="n">
        <v>0.4735300925925926</v>
      </c>
      <c r="C24" s="35" t="inlineStr">
        <is>
          <t>Kuveyt Türk</t>
        </is>
      </c>
      <c r="D24" s="8" t="n">
        <v>48.2721</v>
      </c>
      <c r="E24" s="8" t="n">
        <v>49.2972</v>
      </c>
      <c r="F24" s="8" t="n">
        <v>1.0251</v>
      </c>
      <c r="G24" s="9" t="n">
        <v>0.02123586916666149</v>
      </c>
      <c r="H24" s="10" t="n">
        <v>55.2806</v>
      </c>
      <c r="I24" s="10" t="n">
        <v>56.4607</v>
      </c>
      <c r="J24" s="10" t="n">
        <v>1.1801</v>
      </c>
      <c r="K24" s="11" t="n">
        <v>0.0213474528134644</v>
      </c>
      <c r="L24" s="12" t="n">
        <v>6653.84</v>
      </c>
      <c r="M24" s="12" t="n">
        <v>6828.71</v>
      </c>
      <c r="N24" s="12" t="n">
        <v>174.87</v>
      </c>
      <c r="O24" s="13" t="n">
        <v>0.02628106476861482</v>
      </c>
    </row>
    <row r="25">
      <c r="A25" s="5" t="n">
        <v>46282</v>
      </c>
      <c r="B25" s="6" t="n">
        <v>0.4735300925925926</v>
      </c>
      <c r="C25" s="36" t="inlineStr">
        <is>
          <t>Merkez Bankası</t>
        </is>
      </c>
      <c r="D25" s="8" t="n">
        <v>48.5779</v>
      </c>
      <c r="E25" s="8" t="n">
        <v>48.6654</v>
      </c>
      <c r="F25" s="8" t="n">
        <v>0.08749999999999999</v>
      </c>
      <c r="G25" s="9" t="n">
        <v>0.00180123060074643</v>
      </c>
      <c r="H25" s="10" t="n">
        <v>56.0645</v>
      </c>
      <c r="I25" s="10" t="n">
        <v>56.1655</v>
      </c>
      <c r="J25" s="10" t="n">
        <v>0.101</v>
      </c>
      <c r="K25" s="11" t="n">
        <v>0.001801496490649163</v>
      </c>
      <c r="L25" s="12" t="n"/>
      <c r="M25" s="12" t="n"/>
      <c r="N25" s="12" t="n"/>
      <c r="O25" s="13" t="n"/>
    </row>
    <row r="26">
      <c r="A26" s="5" t="n">
        <v>46282</v>
      </c>
      <c r="B26" s="6" t="n">
        <v>0.4735300925925926</v>
      </c>
      <c r="C26" s="37" t="inlineStr">
        <is>
          <t>Misyon Bank</t>
        </is>
      </c>
      <c r="D26" s="8" t="n">
        <v>48.604</v>
      </c>
      <c r="E26" s="8" t="n">
        <v>48.6578</v>
      </c>
      <c r="F26" s="8" t="n">
        <v>0.0538</v>
      </c>
      <c r="G26" s="9" t="n">
        <v>0.001106904781499465</v>
      </c>
      <c r="H26" s="10" t="n">
        <v>55.7153</v>
      </c>
      <c r="I26" s="10" t="n">
        <v>55.8076</v>
      </c>
      <c r="J26" s="10" t="n">
        <v>0.09229999999999999</v>
      </c>
      <c r="K26" s="11" t="n">
        <v>0.00165663650738666</v>
      </c>
      <c r="L26" s="12" t="n">
        <v>6696.6</v>
      </c>
      <c r="M26" s="12" t="n">
        <v>6726.99</v>
      </c>
      <c r="N26" s="12" t="n">
        <v>30.39</v>
      </c>
      <c r="O26" s="13" t="n">
        <v>0.004538123824030104</v>
      </c>
    </row>
    <row r="27">
      <c r="A27" s="5" t="n">
        <v>46282</v>
      </c>
      <c r="B27" s="6" t="n">
        <v>0.4735300925925926</v>
      </c>
      <c r="C27" s="38" t="inlineStr">
        <is>
          <t>Odacı</t>
        </is>
      </c>
      <c r="D27" s="8" t="n">
        <v>48.593</v>
      </c>
      <c r="E27" s="8" t="n">
        <v>48.79</v>
      </c>
      <c r="F27" s="8" t="n">
        <v>0.197</v>
      </c>
      <c r="G27" s="9" t="n">
        <v>0.004054081863642912</v>
      </c>
      <c r="H27" s="10" t="n">
        <v>55.647</v>
      </c>
      <c r="I27" s="10" t="n">
        <v>55.871</v>
      </c>
      <c r="J27" s="10" t="n">
        <v>0.224</v>
      </c>
      <c r="K27" s="11" t="n">
        <v>0.004025374234010819</v>
      </c>
      <c r="L27" s="12" t="n">
        <v>6708</v>
      </c>
      <c r="M27" s="12" t="n">
        <v>6766</v>
      </c>
      <c r="N27" s="12" t="n">
        <v>58</v>
      </c>
      <c r="O27" s="13" t="n">
        <v>0.008646392367322599</v>
      </c>
    </row>
    <row r="28">
      <c r="A28" s="5" t="n">
        <v>46282</v>
      </c>
      <c r="B28" s="6" t="n">
        <v>0.4735300925925926</v>
      </c>
      <c r="C28" s="39" t="inlineStr">
        <is>
          <t>Odeabank</t>
        </is>
      </c>
      <c r="D28" s="8" t="n">
        <v>48.1395</v>
      </c>
      <c r="E28" s="8" t="n">
        <v>49.1395</v>
      </c>
      <c r="F28" s="8" t="n">
        <v>1</v>
      </c>
      <c r="G28" s="9" t="n">
        <v>0.02077296191277433</v>
      </c>
      <c r="H28" s="10" t="n">
        <v>55.238</v>
      </c>
      <c r="I28" s="10" t="n">
        <v>56.328</v>
      </c>
      <c r="J28" s="10" t="n">
        <v>1.09</v>
      </c>
      <c r="K28" s="11" t="n">
        <v>0.01973279264274594</v>
      </c>
      <c r="L28" s="12" t="n">
        <v>6705.91</v>
      </c>
      <c r="M28" s="12" t="n">
        <v>6805.91</v>
      </c>
      <c r="N28" s="12" t="n">
        <v>100</v>
      </c>
      <c r="O28" s="13" t="n">
        <v>0.01491221922155233</v>
      </c>
    </row>
    <row r="29">
      <c r="A29" s="5" t="n">
        <v>46282</v>
      </c>
      <c r="B29" s="6" t="n">
        <v>0.4735300925925926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6648.63</v>
      </c>
      <c r="M29" s="12" t="n">
        <v>6829.21</v>
      </c>
      <c r="N29" s="12" t="n">
        <v>180.58</v>
      </c>
      <c r="O29" s="13" t="n">
        <v>0.02716048268590672</v>
      </c>
    </row>
    <row r="30">
      <c r="A30" s="5" t="n">
        <v>46282</v>
      </c>
      <c r="B30" s="6" t="n">
        <v>0.4735300925925926</v>
      </c>
      <c r="C30" s="41" t="inlineStr">
        <is>
          <t>QNB Finansbank</t>
        </is>
      </c>
      <c r="D30" s="8" t="n">
        <v>47.9155</v>
      </c>
      <c r="E30" s="8" t="n">
        <v>49.4355</v>
      </c>
      <c r="F30" s="8" t="n">
        <v>1.52</v>
      </c>
      <c r="G30" s="9" t="n">
        <v>0.03172251150462794</v>
      </c>
      <c r="H30" s="10" t="n">
        <v>54.8437</v>
      </c>
      <c r="I30" s="10" t="n">
        <v>56.8315</v>
      </c>
      <c r="J30" s="10" t="n">
        <v>1.9878</v>
      </c>
      <c r="K30" s="11" t="n">
        <v>0.03624481936849629</v>
      </c>
      <c r="L30" s="12" t="n">
        <v>6602.11</v>
      </c>
      <c r="M30" s="12" t="n">
        <v>6841.77</v>
      </c>
      <c r="N30" s="12" t="n">
        <v>239.66</v>
      </c>
      <c r="O30" s="13" t="n">
        <v>0.0363005160471425</v>
      </c>
    </row>
    <row r="31">
      <c r="A31" s="5" t="n">
        <v>46282</v>
      </c>
      <c r="B31" s="6" t="n">
        <v>0.4735300925925926</v>
      </c>
      <c r="C31" s="42" t="inlineStr">
        <is>
          <t>TOM Bank Hadi</t>
        </is>
      </c>
      <c r="D31" s="8" t="n">
        <v>48.6753</v>
      </c>
      <c r="E31" s="8" t="n">
        <v>48.6753</v>
      </c>
      <c r="F31" s="8" t="n">
        <v>0</v>
      </c>
      <c r="G31" s="9" t="n">
        <v>0</v>
      </c>
      <c r="H31" s="10" t="n">
        <v>55.8374</v>
      </c>
      <c r="I31" s="10" t="n">
        <v>55.8374</v>
      </c>
      <c r="J31" s="10" t="n">
        <v>0</v>
      </c>
      <c r="K31" s="11" t="n">
        <v>0</v>
      </c>
      <c r="L31" s="12" t="n">
        <v>6721.42</v>
      </c>
      <c r="M31" s="12" t="n">
        <v>6721.42</v>
      </c>
      <c r="N31" s="12" t="n">
        <v>0</v>
      </c>
      <c r="O31" s="13" t="n">
        <v>0</v>
      </c>
    </row>
    <row r="32">
      <c r="A32" s="5" t="n">
        <v>46282</v>
      </c>
      <c r="B32" s="6" t="n">
        <v>0.4735300925925926</v>
      </c>
      <c r="C32" s="43" t="inlineStr">
        <is>
          <t>Türkiye Finans</t>
        </is>
      </c>
      <c r="D32" s="8" t="n">
        <v>48.2291</v>
      </c>
      <c r="E32" s="8" t="n">
        <v>49.0315</v>
      </c>
      <c r="F32" s="8" t="n">
        <v>0.8024</v>
      </c>
      <c r="G32" s="9" t="n">
        <v>0.01663725841867254</v>
      </c>
      <c r="H32" s="10" t="n">
        <v>55.341</v>
      </c>
      <c r="I32" s="10" t="n">
        <v>56.1935</v>
      </c>
      <c r="J32" s="10" t="n">
        <v>0.8525</v>
      </c>
      <c r="K32" s="11" t="n">
        <v>0.0154044921486782</v>
      </c>
      <c r="L32" s="12" t="n">
        <v>6653.2</v>
      </c>
      <c r="M32" s="12" t="n">
        <v>6849.66</v>
      </c>
      <c r="N32" s="12" t="n">
        <v>196.46</v>
      </c>
      <c r="O32" s="13" t="n">
        <v>0.02952864786869476</v>
      </c>
    </row>
    <row r="33">
      <c r="A33" s="5" t="n">
        <v>46282</v>
      </c>
      <c r="B33" s="6" t="n">
        <v>0.4735300925925926</v>
      </c>
      <c r="C33" s="44" t="inlineStr">
        <is>
          <t>Vakıf Katılım</t>
        </is>
      </c>
      <c r="D33" s="8" t="n">
        <v>48.5306</v>
      </c>
      <c r="E33" s="8" t="n">
        <v>48.7354</v>
      </c>
      <c r="F33" s="8" t="n">
        <v>0.2048</v>
      </c>
      <c r="G33" s="9" t="n">
        <v>0.00422001788562268</v>
      </c>
      <c r="H33" s="10" t="n">
        <v>55.6583</v>
      </c>
      <c r="I33" s="10" t="n">
        <v>55.8826</v>
      </c>
      <c r="J33" s="10" t="n">
        <v>0.2243</v>
      </c>
      <c r="K33" s="11" t="n">
        <v>0.00402994701598863</v>
      </c>
      <c r="L33" s="12" t="n">
        <v>6689.01</v>
      </c>
      <c r="M33" s="12" t="n">
        <v>6742.74</v>
      </c>
      <c r="N33" s="12" t="n">
        <v>53.73</v>
      </c>
      <c r="O33" s="13" t="n">
        <v>0.00803257881211121</v>
      </c>
    </row>
    <row r="34">
      <c r="A34" s="5" t="n">
        <v>46282</v>
      </c>
      <c r="B34" s="6" t="n">
        <v>0.4735300925925926</v>
      </c>
      <c r="C34" s="45" t="inlineStr">
        <is>
          <t>Vakıfbank</t>
        </is>
      </c>
      <c r="D34" s="8" t="n">
        <v>48.2674</v>
      </c>
      <c r="E34" s="8" t="n">
        <v>49.2374</v>
      </c>
      <c r="F34" s="8" t="n">
        <v>0.97</v>
      </c>
      <c r="G34" s="9" t="n">
        <v>0.02009637975113638</v>
      </c>
      <c r="H34" s="10" t="n">
        <v>55.3286</v>
      </c>
      <c r="I34" s="10" t="n">
        <v>56.4676</v>
      </c>
      <c r="J34" s="10" t="n">
        <v>1.139</v>
      </c>
      <c r="K34" s="11" t="n">
        <v>0.02058609832889319</v>
      </c>
      <c r="L34" s="12" t="n">
        <v>6656.26</v>
      </c>
      <c r="M34" s="12" t="n">
        <v>6800.86</v>
      </c>
      <c r="N34" s="12" t="n">
        <v>144.6</v>
      </c>
      <c r="O34" s="13" t="n">
        <v>0.0217239110251102</v>
      </c>
    </row>
    <row r="35">
      <c r="A35" s="5" t="n">
        <v>46282</v>
      </c>
      <c r="B35" s="6" t="n">
        <v>0.4735300925925926</v>
      </c>
      <c r="C35" s="46" t="inlineStr">
        <is>
          <t>Venüs</t>
        </is>
      </c>
      <c r="D35" s="8" t="n">
        <v>48.675</v>
      </c>
      <c r="E35" s="8" t="n">
        <v>48.714</v>
      </c>
      <c r="F35" s="8" t="n">
        <v>0.039</v>
      </c>
      <c r="G35" s="9" t="n">
        <v>0.0008012326656394453</v>
      </c>
      <c r="H35" s="10" t="n">
        <v>55.723</v>
      </c>
      <c r="I35" s="10" t="n">
        <v>55.836</v>
      </c>
      <c r="J35" s="10" t="n">
        <v>0.113</v>
      </c>
      <c r="K35" s="11" t="n">
        <v>0.002027887945731565</v>
      </c>
      <c r="L35" s="12" t="n"/>
      <c r="M35" s="12" t="n"/>
      <c r="N35" s="12" t="n"/>
      <c r="O35" s="13" t="n"/>
    </row>
    <row r="36">
      <c r="A36" s="5" t="n">
        <v>46282</v>
      </c>
      <c r="B36" s="6" t="n">
        <v>0.4735300925925926</v>
      </c>
      <c r="C36" s="47" t="inlineStr">
        <is>
          <t>Yapıkredi</t>
        </is>
      </c>
      <c r="D36" s="8" t="n">
        <v>48.08</v>
      </c>
      <c r="E36" s="8" t="n">
        <v>49.03</v>
      </c>
      <c r="F36" s="8" t="n">
        <v>0.95</v>
      </c>
      <c r="G36" s="9" t="n">
        <v>0.01975873544093178</v>
      </c>
      <c r="H36" s="10" t="n">
        <v>55.15</v>
      </c>
      <c r="I36" s="10" t="n">
        <v>56.22</v>
      </c>
      <c r="J36" s="10" t="n">
        <v>1.07</v>
      </c>
      <c r="K36" s="11" t="n">
        <v>0.01940163191296464</v>
      </c>
      <c r="L36" s="12" t="n">
        <v>6633.15</v>
      </c>
      <c r="M36" s="12" t="n">
        <v>6828.49</v>
      </c>
      <c r="N36" s="12" t="n">
        <v>195.34</v>
      </c>
      <c r="O36" s="13" t="n">
        <v>0.02944905512463912</v>
      </c>
    </row>
    <row r="37">
      <c r="A37" s="5" t="n">
        <v>46282</v>
      </c>
      <c r="B37" s="6" t="n">
        <v>0.4735300925925926</v>
      </c>
      <c r="C37" s="48" t="inlineStr">
        <is>
          <t>Ziraat Bankası</t>
        </is>
      </c>
      <c r="D37" s="8" t="n">
        <v>48.2651</v>
      </c>
      <c r="E37" s="8" t="n">
        <v>49.2415</v>
      </c>
      <c r="F37" s="8" t="n">
        <v>0.9764</v>
      </c>
      <c r="G37" s="9" t="n">
        <v>0.02022993840269677</v>
      </c>
      <c r="H37" s="10" t="n">
        <v>55.3487</v>
      </c>
      <c r="I37" s="10" t="n">
        <v>56.4685</v>
      </c>
      <c r="J37" s="10" t="n">
        <v>1.1198</v>
      </c>
      <c r="K37" s="11" t="n">
        <v>0.02023173082655961</v>
      </c>
      <c r="L37" s="12" t="n">
        <v>6691.81</v>
      </c>
      <c r="M37" s="12" t="n">
        <v>6826.93</v>
      </c>
      <c r="N37" s="12" t="n">
        <v>135.12</v>
      </c>
      <c r="O37" s="13" t="n">
        <v>0.02019184645110964</v>
      </c>
    </row>
    <row r="38">
      <c r="A38" s="5" t="n">
        <v>46282</v>
      </c>
      <c r="B38" s="6" t="n">
        <v>0.4735300925925926</v>
      </c>
      <c r="C38" s="49" t="inlineStr">
        <is>
          <t>Ziraat Dinamik</t>
        </is>
      </c>
      <c r="D38" s="8" t="n">
        <v>48.3134</v>
      </c>
      <c r="E38" s="8" t="n">
        <v>48.9707</v>
      </c>
      <c r="F38" s="8" t="n">
        <v>0.6573</v>
      </c>
      <c r="G38" s="9" t="n">
        <v>0.01360492120198537</v>
      </c>
      <c r="H38" s="10" t="n">
        <v>55.3482</v>
      </c>
      <c r="I38" s="10" t="n">
        <v>56.1574</v>
      </c>
      <c r="J38" s="10" t="n">
        <v>0.8092</v>
      </c>
      <c r="K38" s="11" t="n">
        <v>0.01462016831622347</v>
      </c>
      <c r="L38" s="12" t="n">
        <v>6656.88</v>
      </c>
      <c r="M38" s="12" t="n">
        <v>6791.29</v>
      </c>
      <c r="N38" s="12" t="n">
        <v>134.41</v>
      </c>
      <c r="O38" s="13" t="n">
        <v>0.02019114059439257</v>
      </c>
    </row>
    <row r="39">
      <c r="A39" s="5" t="n">
        <v>46282</v>
      </c>
      <c r="B39" s="6" t="n">
        <v>0.4735300925925926</v>
      </c>
      <c r="C39" s="50" t="inlineStr">
        <is>
          <t>Ziraat Katılım</t>
        </is>
      </c>
      <c r="D39" s="8" t="n">
        <v>48.1423</v>
      </c>
      <c r="E39" s="8" t="n">
        <v>49.1466</v>
      </c>
      <c r="F39" s="8" t="n">
        <v>1.0043</v>
      </c>
      <c r="G39" s="9" t="n">
        <v>0.02086107227947149</v>
      </c>
      <c r="H39" s="10" t="n">
        <v>55.1837</v>
      </c>
      <c r="I39" s="10" t="n">
        <v>56.3901</v>
      </c>
      <c r="J39" s="10" t="n">
        <v>1.2064</v>
      </c>
      <c r="K39" s="11" t="n">
        <v>0.02186152795118848</v>
      </c>
      <c r="L39" s="12" t="n">
        <v>6677.64</v>
      </c>
      <c r="M39" s="12" t="n">
        <v>6889.66</v>
      </c>
      <c r="N39" s="12" t="n">
        <v>212.02</v>
      </c>
      <c r="O39" s="13" t="n">
        <v>0.03175073828478325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</hyperlinks>
  <pageMargins left="0.75" right="0.75" top="1" bottom="1" header="0.5" footer="0.5"/>
  <tableParts count="1">
    <tablePart xmlns:r="http://schemas.openxmlformats.org/officeDocument/2006/relationships" r:id="rId226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0" t="inlineStr">
        <is>
          <t>Döviz ve Altın Kur Takip Özeti</t>
        </is>
      </c>
    </row>
    <row r="3">
      <c r="A3" s="61" t="inlineStr">
        <is>
          <t>SON VERİ ÇEKİMİ</t>
        </is>
      </c>
      <c r="F3" s="61" t="inlineStr">
        <is>
          <t>AYLIK ORTALAMA MAKAS %</t>
        </is>
      </c>
      <c r="L3" s="61" t="inlineStr">
        <is>
          <t>5 BANKADA EN DÜŞÜK GÜNCEL MAKAS</t>
        </is>
      </c>
    </row>
    <row r="4">
      <c r="A4" s="62" t="inlineStr">
        <is>
          <t>Veri tarihi</t>
        </is>
      </c>
      <c r="B4" s="63" t="n"/>
      <c r="C4" s="64" t="n">
        <v>46282</v>
      </c>
      <c r="D4" s="63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2" t="inlineStr">
        <is>
          <t>Çekim saati</t>
        </is>
      </c>
      <c r="B5" s="63" t="n"/>
      <c r="C5" s="65" t="n">
        <v>0.4735300925925926</v>
      </c>
      <c r="D5" s="63" t="n"/>
      <c r="F5" s="63" t="inlineStr">
        <is>
          <t>Ağustos 2026</t>
        </is>
      </c>
      <c r="G5" s="66" t="inlineStr">
        <is>
          <t>Garanti BBVA</t>
        </is>
      </c>
      <c r="H5" s="67" t="n">
        <v>0.03553378696044311</v>
      </c>
      <c r="I5" s="68" t="n">
        <v>0.03553642841103422</v>
      </c>
      <c r="J5" s="69" t="n">
        <v>0.05383117747984287</v>
      </c>
      <c r="L5" s="70" t="inlineStr">
        <is>
          <t>DOLAR</t>
        </is>
      </c>
      <c r="M5" s="63" t="n">
        <v>5</v>
      </c>
      <c r="N5" s="71" t="n">
        <v>0.01975873544093178</v>
      </c>
      <c r="O5" s="72" t="inlineStr">
        <is>
          <t>Yapıkredi</t>
        </is>
      </c>
      <c r="P5" s="73" t="n">
        <v>48.08</v>
      </c>
      <c r="Q5" s="73" t="n">
        <v>49.03</v>
      </c>
    </row>
    <row r="6">
      <c r="A6" s="62" t="inlineStr">
        <is>
          <t>Sağlayıcı sayısı</t>
        </is>
      </c>
      <c r="B6" s="63" t="n"/>
      <c r="C6" s="74" t="n">
        <v>38</v>
      </c>
      <c r="D6" s="63" t="n"/>
      <c r="F6" s="63" t="inlineStr">
        <is>
          <t>Ağustos 2026</t>
        </is>
      </c>
      <c r="G6" s="75" t="inlineStr">
        <is>
          <t>Akbank</t>
        </is>
      </c>
      <c r="H6" s="67" t="n">
        <v>0.04311562150687483</v>
      </c>
      <c r="I6" s="68" t="n">
        <v>0.0432699268677014</v>
      </c>
      <c r="J6" s="69" t="n">
        <v>0.06066925394146307</v>
      </c>
      <c r="L6" s="76" t="inlineStr">
        <is>
          <t>EURO</t>
        </is>
      </c>
      <c r="M6" s="63" t="n">
        <v>5</v>
      </c>
      <c r="N6" s="71" t="n">
        <v>0.01940163191296464</v>
      </c>
      <c r="O6" s="72" t="inlineStr">
        <is>
          <t>Yapıkredi</t>
        </is>
      </c>
      <c r="P6" s="73" t="n">
        <v>55.15</v>
      </c>
      <c r="Q6" s="73" t="n">
        <v>56.22</v>
      </c>
    </row>
    <row r="7">
      <c r="A7" s="62" t="inlineStr">
        <is>
          <t>Ürün kaydı</t>
        </is>
      </c>
      <c r="B7" s="63" t="n"/>
      <c r="C7" s="74" t="n">
        <v>108</v>
      </c>
      <c r="D7" s="63" t="n"/>
      <c r="F7" s="63" t="inlineStr">
        <is>
          <t>Ağustos 2026</t>
        </is>
      </c>
      <c r="G7" s="72" t="inlineStr">
        <is>
          <t>Yapıkredi</t>
        </is>
      </c>
      <c r="H7" s="67" t="n">
        <v>0.03847709584999994</v>
      </c>
      <c r="I7" s="68" t="n">
        <v>0.03535742466332828</v>
      </c>
      <c r="J7" s="69" t="n">
        <v>0.0540849048600331</v>
      </c>
      <c r="L7" s="77" t="inlineStr">
        <is>
          <t>GRAM ALTIN</t>
        </is>
      </c>
      <c r="M7" s="63" t="n">
        <v>5</v>
      </c>
      <c r="N7" s="71" t="n">
        <v>0.02019184645110964</v>
      </c>
      <c r="O7" s="78" t="inlineStr">
        <is>
          <t>Ziraat Bankası</t>
        </is>
      </c>
      <c r="P7" s="73" t="n">
        <v>6691.81</v>
      </c>
      <c r="Q7" s="73" t="n">
        <v>6826.93</v>
      </c>
    </row>
    <row r="8">
      <c r="A8" s="62" t="inlineStr">
        <is>
          <t>Hatalı kayıt</t>
        </is>
      </c>
      <c r="B8" s="63" t="n"/>
      <c r="C8" s="74" t="n">
        <v>0</v>
      </c>
      <c r="D8" s="63" t="n"/>
      <c r="F8" s="63" t="inlineStr">
        <is>
          <t>Ağustos 2026</t>
        </is>
      </c>
      <c r="G8" s="78" t="inlineStr">
        <is>
          <t>Ziraat Bankası</t>
        </is>
      </c>
      <c r="H8" s="67" t="n">
        <v>0.04104187506584386</v>
      </c>
      <c r="I8" s="68" t="n">
        <v>0.0514487601107881</v>
      </c>
      <c r="J8" s="69" t="n">
        <v>0.08301204597474589</v>
      </c>
    </row>
    <row r="9">
      <c r="A9" s="62" t="inlineStr">
        <is>
          <t>Kontrol gereken</t>
        </is>
      </c>
      <c r="B9" s="63" t="n"/>
      <c r="C9" s="74" t="n">
        <v>0</v>
      </c>
      <c r="D9" s="63" t="n"/>
      <c r="F9" s="63" t="inlineStr">
        <is>
          <t>Ağustos 2026</t>
        </is>
      </c>
      <c r="G9" s="79" t="inlineStr">
        <is>
          <t>İş Bankası</t>
        </is>
      </c>
      <c r="H9" s="67" t="n">
        <v>0.04760750668842017</v>
      </c>
      <c r="I9" s="68" t="n">
        <v>0.04783493387226885</v>
      </c>
      <c r="J9" s="69" t="n">
        <v>0.1017248276143379</v>
      </c>
    </row>
    <row r="10">
      <c r="F10" s="63" t="inlineStr">
        <is>
          <t>Eylül 2026</t>
        </is>
      </c>
      <c r="G10" s="66" t="inlineStr">
        <is>
          <t>Garanti BBVA</t>
        </is>
      </c>
      <c r="H10" s="67" t="n">
        <v>0.03162628452477723</v>
      </c>
      <c r="I10" s="68" t="n">
        <v>0.03162761063695057</v>
      </c>
      <c r="J10" s="69" t="n">
        <v>0.04485572737170727</v>
      </c>
    </row>
    <row r="11">
      <c r="F11" s="63" t="inlineStr">
        <is>
          <t>Eylül 2026</t>
        </is>
      </c>
      <c r="G11" s="75" t="inlineStr">
        <is>
          <t>Akbank</t>
        </is>
      </c>
      <c r="H11" s="67" t="n">
        <v>0.03517004987520983</v>
      </c>
      <c r="I11" s="68" t="n">
        <v>0.03529781400463845</v>
      </c>
      <c r="J11" s="69" t="n">
        <v>0.04750281017806048</v>
      </c>
    </row>
    <row r="12">
      <c r="F12" s="63" t="inlineStr">
        <is>
          <t>Eylül 2026</t>
        </is>
      </c>
      <c r="G12" s="72" t="inlineStr">
        <is>
          <t>Yapıkredi</t>
        </is>
      </c>
      <c r="H12" s="67" t="n">
        <v>0.02798862802223535</v>
      </c>
      <c r="I12" s="68" t="n">
        <v>0.02627822801551986</v>
      </c>
      <c r="J12" s="69" t="n">
        <v>0.04071519137147349</v>
      </c>
    </row>
    <row r="13">
      <c r="F13" s="63" t="inlineStr">
        <is>
          <t>Eylül 2026</t>
        </is>
      </c>
      <c r="G13" s="78" t="inlineStr">
        <is>
          <t>Ziraat Bankası</t>
        </is>
      </c>
      <c r="H13" s="67" t="n">
        <v>0.02979445169451516</v>
      </c>
      <c r="I13" s="68" t="n">
        <v>0.02979462451305551</v>
      </c>
      <c r="J13" s="69" t="n">
        <v>0.04948503097399939</v>
      </c>
    </row>
    <row r="14">
      <c r="F14" s="63" t="inlineStr">
        <is>
          <t>Eylül 2026</t>
        </is>
      </c>
      <c r="G14" s="79" t="inlineStr">
        <is>
          <t>İş Bankası</t>
        </is>
      </c>
      <c r="H14" s="67" t="n">
        <v>0.03157483163717196</v>
      </c>
      <c r="I14" s="68" t="n">
        <v>0.03169477693938044</v>
      </c>
      <c r="J14" s="69" t="n">
        <v>0.05153773846587733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0.03162628452477723</v>
      </c>
      <c r="V3" s="55" t="n">
        <v>0.03517004987520983</v>
      </c>
      <c r="W3" s="55" t="n">
        <v>0.02798862802223535</v>
      </c>
      <c r="X3" s="55" t="n">
        <v>0.02979445169451516</v>
      </c>
      <c r="Y3" s="55" t="n">
        <v>0.03157483163717196</v>
      </c>
      <c r="Z3" s="55" t="n">
        <v>0.03162761063695057</v>
      </c>
      <c r="AA3" s="55" t="n">
        <v>0.03529781400463845</v>
      </c>
      <c r="AB3" s="55" t="n">
        <v>0.02627822801551986</v>
      </c>
      <c r="AC3" s="55" t="n">
        <v>0.02979462451305551</v>
      </c>
      <c r="AD3" s="55" t="n">
        <v>0.03169477693938044</v>
      </c>
      <c r="AE3" s="55" t="n">
        <v>0.04485572737170727</v>
      </c>
      <c r="AF3" s="55" t="n">
        <v>0.04750281017806048</v>
      </c>
      <c r="AG3" s="55" t="n">
        <v>0.04071519137147349</v>
      </c>
      <c r="AH3" s="55" t="n">
        <v>0.04948503097399939</v>
      </c>
      <c r="AI3" s="55" t="n">
        <v>0.05153773846587733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2026-09-17T08:22:34Z</dcterms:created>
  <dcterms:modified xsi:type="dcterms:W3CDTF">2026-09-17T08:22:35Z</dcterms:modified>
</cp:coreProperties>
</file>