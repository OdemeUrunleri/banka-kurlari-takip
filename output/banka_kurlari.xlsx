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'GRAFIK_VERILERI'!$B$2:$B$38</f>
              <numCache>
                <formatCode>0.00%</formatCode>
                <ptCount val="3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'GRAFIK_VERILERI'!$C$2:$C$38</f>
              <numCache>
                <formatCode>0.00%</formatCode>
                <ptCount val="3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'GRAFIK_VERILERI'!$D$2:$D$38</f>
              <numCache>
                <formatCode>0.00%</formatCode>
                <ptCount val="3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'GRAFIK_VERILERI'!$E$2:$E$38</f>
              <numCache>
                <formatCode>0.00%</formatCode>
                <ptCount val="3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'GRAFIK_VERILERI'!$F$2:$F$38</f>
              <numCache>
                <formatCode>0.00%</formatCode>
                <ptCount val="3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'GRAFIK_VERILERI'!$G$2:$G$38</f>
              <numCache>
                <formatCode>0.00%</formatCode>
                <ptCount val="3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'GRAFIK_VERILERI'!$H$2:$H$38</f>
              <numCache>
                <formatCode>0.00%</formatCode>
                <ptCount val="3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'GRAFIK_VERILERI'!$I$2:$I$38</f>
              <numCache>
                <formatCode>0.00%</formatCode>
                <ptCount val="3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'GRAFIK_VERILERI'!$J$2:$J$38</f>
              <numCache>
                <formatCode>0.00%</formatCode>
                <ptCount val="3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'GRAFIK_VERILERI'!$K$2:$K$38</f>
              <numCache>
                <formatCode>0.00%</formatCode>
                <ptCount val="3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'GRAFIK_VERILERI'!$L$2:$L$38</f>
              <numCache>
                <formatCode>0.00%</formatCode>
                <ptCount val="3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'GRAFIK_VERILERI'!$M$2:$M$38</f>
              <numCache>
                <formatCode>0.00%</formatCode>
                <ptCount val="3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'GRAFIK_VERILERI'!$N$2:$N$38</f>
              <numCache>
                <formatCode>0.00%</formatCode>
                <ptCount val="3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'GRAFIK_VERILERI'!$O$2:$O$38</f>
              <numCache>
                <formatCode>0.00%</formatCode>
                <ptCount val="3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'GRAFIK_VERILERI'!$P$2:$P$38</f>
              <numCache>
                <formatCode>0.00%</formatCode>
                <ptCount val="3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0.03258911628959821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0.03754060406129702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0.03222724835967911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0.03377967715346088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0.03481024381964123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0.03258359428929338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0.03763308793890035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0.03071838878412929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0.0337808834872047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0.03490391964383235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0.04803572532998753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0.05171366001494213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0.04834663990636715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0.06169076208769816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0.06269221989225181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'GRAFIK_VERILERI'!$B$2:$B$38</f>
              <numCache>
                <formatCode>0.00%</formatCode>
                <ptCount val="3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859062880117"/>
          <min val="0.0250920951432605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'GRAFIK_VERILERI'!$G$2:$G$38</f>
              <numCache>
                <formatCode>0.00%</formatCode>
                <ptCount val="3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5693511808662"/>
          <min val="0.025081481052295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'GRAFIK_VERILERI'!$L$2:$L$38</f>
              <numCache>
                <formatCode>0.00%</formatCode>
                <ptCount val="3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622850531373"/>
          <min val="0.029997224080146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'GRAFIK_VERILERI'!$C$2:$C$38</f>
              <numCache>
                <formatCode>0.00%</formatCode>
                <ptCount val="3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0066906861722"/>
          <min val="0.022013535901618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'GRAFIK_VERILERI'!$H$2:$H$38</f>
              <numCache>
                <formatCode>0.00%</formatCode>
                <ptCount val="3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999309125812"/>
          <min val="0.021958312291324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'GRAFIK_VERILERI'!$M$2:$M$38</f>
              <numCache>
                <formatCode>0.00%</formatCode>
                <ptCount val="3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4258594462153"/>
          <min val="0.0256615237550349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'GRAFIK_VERILERI'!$D$2:$D$38</f>
              <numCache>
                <formatCode>0.00%</formatCode>
                <ptCount val="3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'GRAFIK_VERILERI'!$I$2:$I$38</f>
              <numCache>
                <formatCode>0.00%</formatCode>
                <ptCount val="3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'GRAFIK_VERILERI'!$N$2:$N$38</f>
              <numCache>
                <formatCode>0.00%</formatCode>
                <ptCount val="3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'GRAFIK_VERILERI'!$E$2:$E$38</f>
              <numCache>
                <formatCode>0.00%</formatCode>
                <ptCount val="3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'GRAFIK_VERILERI'!$J$2:$J$38</f>
              <numCache>
                <formatCode>0.00%</formatCode>
                <ptCount val="3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'GRAFIK_VERILERI'!$O$2:$O$38</f>
              <numCache>
                <formatCode>0.00%</formatCode>
                <ptCount val="3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'GRAFIK_VERILERI'!$F$2:$F$38</f>
              <numCache>
                <formatCode>0.00%</formatCode>
                <ptCount val="3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'GRAFIK_VERILERI'!$K$2:$K$38</f>
              <numCache>
                <formatCode>0.00%</formatCode>
                <ptCount val="3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'GRAFIK_VERILERI'!$A$2:$A$38</f>
              <strCache>
                <ptCount val="3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</strCache>
            </strRef>
          </cat>
          <val>
            <numRef>
              <f>'GRAFIK_VERILERI'!$P$2:$P$38</f>
              <numCache>
                <formatCode>0.00%</formatCode>
                <ptCount val="3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988" headerRowCount="1">
  <autoFilter ref="A1:N3988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table" Target="/xl/tables/table2.xml" Id="rId398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46298</v>
      </c>
      <c r="B2" s="6" t="n">
        <v>0.4250694444444444</v>
      </c>
      <c r="C2" s="7" t="inlineStr">
        <is>
          <t>Akbank</t>
        </is>
      </c>
      <c r="D2" s="8" t="n">
        <v>47.647</v>
      </c>
      <c r="E2" s="8" t="n">
        <v>50.347</v>
      </c>
      <c r="F2" s="8" t="n">
        <v>2.7</v>
      </c>
      <c r="G2" s="9" t="n">
        <v>0.05666673662560077</v>
      </c>
      <c r="H2" s="10" t="n">
        <v>53.6126</v>
      </c>
      <c r="I2" s="10" t="n">
        <v>56.6607</v>
      </c>
      <c r="J2" s="10" t="n">
        <v>3.0481</v>
      </c>
      <c r="K2" s="11" t="n">
        <v>0.05685417234008423</v>
      </c>
      <c r="L2" s="12" t="n">
        <v>6373.8</v>
      </c>
      <c r="M2" s="12" t="n">
        <v>6909.1</v>
      </c>
      <c r="N2" s="12" t="n">
        <v>535.3</v>
      </c>
      <c r="O2" s="13" t="n">
        <v>0.083984436286046</v>
      </c>
    </row>
    <row r="3">
      <c r="A3" s="5" t="n">
        <v>46298</v>
      </c>
      <c r="B3" s="6" t="n">
        <v>0.4250694444444444</v>
      </c>
      <c r="C3" s="14" t="inlineStr">
        <is>
          <t>Albaraka Türk</t>
        </is>
      </c>
      <c r="D3" s="8" t="n">
        <v>48.7</v>
      </c>
      <c r="E3" s="8" t="n">
        <v>49.636</v>
      </c>
      <c r="F3" s="8" t="n">
        <v>0.9360000000000001</v>
      </c>
      <c r="G3" s="9" t="n">
        <v>0.01921971252566735</v>
      </c>
      <c r="H3" s="10" t="n">
        <v>54.802</v>
      </c>
      <c r="I3" s="10" t="n">
        <v>55.861</v>
      </c>
      <c r="J3" s="10" t="n">
        <v>1.059</v>
      </c>
      <c r="K3" s="11" t="n">
        <v>0.01932411225867669</v>
      </c>
      <c r="L3" s="12" t="n">
        <v>6439.33</v>
      </c>
      <c r="M3" s="12" t="n">
        <v>6592.58</v>
      </c>
      <c r="N3" s="12" t="n">
        <v>153.25</v>
      </c>
      <c r="O3" s="13" t="n">
        <v>0.02379905984007653</v>
      </c>
    </row>
    <row r="4">
      <c r="A4" s="5" t="n">
        <v>46298</v>
      </c>
      <c r="B4" s="6" t="n">
        <v>0.4250694444444444</v>
      </c>
      <c r="C4" s="15" t="inlineStr">
        <is>
          <t>Alternatif Bank</t>
        </is>
      </c>
      <c r="D4" s="8" t="n">
        <v>46.999</v>
      </c>
      <c r="E4" s="8" t="n">
        <v>51.001</v>
      </c>
      <c r="F4" s="8" t="n">
        <v>4.002</v>
      </c>
      <c r="G4" s="9" t="n">
        <v>0.08515074788825293</v>
      </c>
      <c r="H4" s="10" t="n">
        <v>52.86</v>
      </c>
      <c r="I4" s="10" t="n">
        <v>57.539</v>
      </c>
      <c r="J4" s="10" t="n">
        <v>4.679</v>
      </c>
      <c r="K4" s="11" t="n">
        <v>0.08851683692773364</v>
      </c>
      <c r="L4" s="12" t="n">
        <v>6297.43</v>
      </c>
      <c r="M4" s="12" t="n">
        <v>6860.85</v>
      </c>
      <c r="N4" s="12" t="n">
        <v>563.42</v>
      </c>
      <c r="O4" s="13" t="n">
        <v>0.08946824339452761</v>
      </c>
    </row>
    <row r="5">
      <c r="A5" s="5" t="n">
        <v>46298</v>
      </c>
      <c r="B5" s="6" t="n">
        <v>0.4250694444444444</v>
      </c>
      <c r="C5" s="16" t="inlineStr">
        <is>
          <t>Altınkaynak</t>
        </is>
      </c>
      <c r="D5" s="8" t="n">
        <v>48.946</v>
      </c>
      <c r="E5" s="8" t="n">
        <v>49.37</v>
      </c>
      <c r="F5" s="8" t="n">
        <v>0.424</v>
      </c>
      <c r="G5" s="9" t="n">
        <v>0.008662607771830179</v>
      </c>
      <c r="H5" s="10" t="n">
        <v>54.974</v>
      </c>
      <c r="I5" s="10" t="n">
        <v>55.545</v>
      </c>
      <c r="J5" s="10" t="n">
        <v>0.571</v>
      </c>
      <c r="K5" s="11" t="n">
        <v>0.01038672827154655</v>
      </c>
      <c r="L5" s="12" t="n">
        <v>6482.37</v>
      </c>
      <c r="M5" s="12" t="n">
        <v>6680</v>
      </c>
      <c r="N5" s="12" t="n">
        <v>197.63</v>
      </c>
      <c r="O5" s="13" t="n">
        <v>0.03048730634011943</v>
      </c>
    </row>
    <row r="6">
      <c r="A6" s="5" t="n">
        <v>46298</v>
      </c>
      <c r="B6" s="6" t="n">
        <v>0.4250694444444444</v>
      </c>
      <c r="C6" s="17" t="inlineStr">
        <is>
          <t>Anadolubank</t>
        </is>
      </c>
      <c r="D6" s="8" t="n">
        <v>48.4977</v>
      </c>
      <c r="E6" s="8" t="n">
        <v>49.5567</v>
      </c>
      <c r="F6" s="8" t="n">
        <v>1.059</v>
      </c>
      <c r="G6" s="9" t="n">
        <v>0.02183608707217043</v>
      </c>
      <c r="H6" s="10" t="n">
        <v>53.9398</v>
      </c>
      <c r="I6" s="10" t="n">
        <v>56.3669</v>
      </c>
      <c r="J6" s="10" t="n">
        <v>2.4271</v>
      </c>
      <c r="K6" s="11" t="n">
        <v>0.04499645901542089</v>
      </c>
      <c r="L6" s="12" t="n">
        <v>5893.58</v>
      </c>
      <c r="M6" s="12" t="n">
        <v>7104.77</v>
      </c>
      <c r="N6" s="12" t="n">
        <v>1211.19</v>
      </c>
      <c r="O6" s="13" t="n">
        <v>0.2055100634928176</v>
      </c>
    </row>
    <row r="7">
      <c r="A7" s="5" t="n">
        <v>46298</v>
      </c>
      <c r="B7" s="6" t="n">
        <v>0.4250694444444444</v>
      </c>
      <c r="C7" s="18" t="inlineStr">
        <is>
          <t>CEPTETEB</t>
        </is>
      </c>
      <c r="D7" s="8" t="n">
        <v>46.944</v>
      </c>
      <c r="E7" s="8" t="n">
        <v>51.151</v>
      </c>
      <c r="F7" s="8" t="n">
        <v>4.207</v>
      </c>
      <c r="G7" s="9" t="n">
        <v>0.08961741649625084</v>
      </c>
      <c r="H7" s="10" t="n">
        <v>52.807</v>
      </c>
      <c r="I7" s="10" t="n">
        <v>57.54</v>
      </c>
      <c r="J7" s="10" t="n">
        <v>4.733</v>
      </c>
      <c r="K7" s="11" t="n">
        <v>0.08962826897949135</v>
      </c>
      <c r="L7" s="12" t="n">
        <v>5579.93</v>
      </c>
      <c r="M7" s="12" t="n">
        <v>7579.83</v>
      </c>
      <c r="N7" s="12" t="n">
        <v>1999.9</v>
      </c>
      <c r="O7" s="13" t="n">
        <v>0.3584095140978471</v>
      </c>
    </row>
    <row r="8">
      <c r="A8" s="5" t="n">
        <v>46298</v>
      </c>
      <c r="B8" s="6" t="n">
        <v>0.4250694444444444</v>
      </c>
      <c r="C8" s="19" t="inlineStr">
        <is>
          <t>Denizbank</t>
        </is>
      </c>
      <c r="D8" s="8" t="n">
        <v>47.5723</v>
      </c>
      <c r="E8" s="8" t="n">
        <v>50.3724</v>
      </c>
      <c r="F8" s="8" t="n">
        <v>2.8001</v>
      </c>
      <c r="G8" s="9" t="n">
        <v>0.05885988274689263</v>
      </c>
      <c r="H8" s="10" t="n">
        <v>53.5116</v>
      </c>
      <c r="I8" s="10" t="n">
        <v>56.6663</v>
      </c>
      <c r="J8" s="10" t="n">
        <v>3.1547</v>
      </c>
      <c r="K8" s="11" t="n">
        <v>0.05895357268330605</v>
      </c>
      <c r="L8" s="12" t="n">
        <v>6325.59</v>
      </c>
      <c r="M8" s="12" t="n">
        <v>6700.1</v>
      </c>
      <c r="N8" s="12" t="n">
        <v>374.51</v>
      </c>
      <c r="O8" s="13" t="n">
        <v>0.05920554446304613</v>
      </c>
    </row>
    <row r="9">
      <c r="A9" s="5" t="n">
        <v>46298</v>
      </c>
      <c r="B9" s="6" t="n">
        <v>0.4250694444444444</v>
      </c>
      <c r="C9" s="20" t="inlineStr">
        <is>
          <t>DestekBank</t>
        </is>
      </c>
      <c r="D9" s="8" t="n">
        <v>48.5126</v>
      </c>
      <c r="E9" s="8" t="n">
        <v>49.4728</v>
      </c>
      <c r="F9" s="8" t="n">
        <v>0.9602000000000001</v>
      </c>
      <c r="G9" s="9" t="n">
        <v>0.01979279609833322</v>
      </c>
      <c r="H9" s="10" t="n">
        <v>54.5719</v>
      </c>
      <c r="I9" s="10" t="n">
        <v>55.6814</v>
      </c>
      <c r="J9" s="10" t="n">
        <v>1.1095</v>
      </c>
      <c r="K9" s="11" t="n">
        <v>0.02033097619837316</v>
      </c>
      <c r="L9" s="12" t="n">
        <v>6370.22</v>
      </c>
      <c r="M9" s="12" t="n">
        <v>6612.89</v>
      </c>
      <c r="N9" s="12" t="n">
        <v>242.67</v>
      </c>
      <c r="O9" s="13" t="n">
        <v>0.03809444571773031</v>
      </c>
    </row>
    <row r="10">
      <c r="A10" s="5" t="n">
        <v>46298</v>
      </c>
      <c r="B10" s="6" t="n">
        <v>0.4250694444444444</v>
      </c>
      <c r="C10" s="21" t="inlineStr">
        <is>
          <t>Dünya Katılım</t>
        </is>
      </c>
      <c r="D10" s="8" t="n">
        <v>48.9136</v>
      </c>
      <c r="E10" s="8" t="n">
        <v>49.0916</v>
      </c>
      <c r="F10" s="8" t="n">
        <v>0.178</v>
      </c>
      <c r="G10" s="9" t="n">
        <v>0.003639069706584672</v>
      </c>
      <c r="H10" s="10" t="n">
        <v>54.9536</v>
      </c>
      <c r="I10" s="10" t="n">
        <v>55.3015</v>
      </c>
      <c r="J10" s="10" t="n">
        <v>0.3479</v>
      </c>
      <c r="K10" s="11" t="n">
        <v>0.006330795434693996</v>
      </c>
      <c r="L10" s="12" t="n">
        <v>6464.96</v>
      </c>
      <c r="M10" s="12" t="n">
        <v>6514.97</v>
      </c>
      <c r="N10" s="12" t="n">
        <v>50.01</v>
      </c>
      <c r="O10" s="13" t="n">
        <v>0.007735546700985002</v>
      </c>
    </row>
    <row r="11">
      <c r="A11" s="5" t="n">
        <v>46298</v>
      </c>
      <c r="B11" s="6" t="n">
        <v>0.4250694444444444</v>
      </c>
      <c r="C11" s="22" t="inlineStr">
        <is>
          <t>Emlak Katılım</t>
        </is>
      </c>
      <c r="D11" s="8" t="n">
        <v>48.3299</v>
      </c>
      <c r="E11" s="8" t="n">
        <v>50.5426</v>
      </c>
      <c r="F11" s="8" t="n">
        <v>2.2127</v>
      </c>
      <c r="G11" s="9" t="n">
        <v>0.04578325218963829</v>
      </c>
      <c r="H11" s="10" t="n">
        <v>54.3429</v>
      </c>
      <c r="I11" s="10" t="n">
        <v>56.6753</v>
      </c>
      <c r="J11" s="10" t="n">
        <v>2.3324</v>
      </c>
      <c r="K11" s="11" t="n">
        <v>0.04292005027335678</v>
      </c>
      <c r="L11" s="12" t="n">
        <v>5498.66</v>
      </c>
      <c r="M11" s="12" t="n">
        <v>7197.75</v>
      </c>
      <c r="N11" s="12" t="n">
        <v>1699.09</v>
      </c>
      <c r="O11" s="13" t="n">
        <v>0.3090007383617099</v>
      </c>
    </row>
    <row r="12">
      <c r="A12" s="5" t="n">
        <v>46298</v>
      </c>
      <c r="B12" s="6" t="n">
        <v>0.4250694444444444</v>
      </c>
      <c r="C12" s="23" t="inlineStr">
        <is>
          <t>Enpara</t>
        </is>
      </c>
      <c r="D12" s="8" t="n">
        <v>48.295</v>
      </c>
      <c r="E12" s="8" t="n">
        <v>49.995</v>
      </c>
      <c r="F12" s="8" t="n">
        <v>1.7</v>
      </c>
      <c r="G12" s="9" t="n">
        <v>0.03520033129723574</v>
      </c>
      <c r="H12" s="10" t="n">
        <v>54.0746</v>
      </c>
      <c r="I12" s="10" t="n">
        <v>56.5457</v>
      </c>
      <c r="J12" s="10" t="n">
        <v>2.4711</v>
      </c>
      <c r="K12" s="11" t="n">
        <v>0.04569798019772684</v>
      </c>
      <c r="L12" s="12" t="n">
        <v>6367.74</v>
      </c>
      <c r="M12" s="12" t="n">
        <v>6740.49</v>
      </c>
      <c r="N12" s="12" t="n">
        <v>372.75</v>
      </c>
      <c r="O12" s="13" t="n">
        <v>0.05853725183503095</v>
      </c>
    </row>
    <row r="13">
      <c r="A13" s="5" t="n">
        <v>46298</v>
      </c>
      <c r="B13" s="6" t="n">
        <v>0.4250694444444444</v>
      </c>
      <c r="C13" s="24" t="inlineStr">
        <is>
          <t>Fibabanka</t>
        </is>
      </c>
      <c r="D13" s="8" t="n">
        <v>47.6466</v>
      </c>
      <c r="E13" s="8" t="n">
        <v>50.7489</v>
      </c>
      <c r="F13" s="8" t="n">
        <v>3.1023</v>
      </c>
      <c r="G13" s="9" t="n">
        <v>0.06511062699122289</v>
      </c>
      <c r="H13" s="10" t="n">
        <v>53.3209</v>
      </c>
      <c r="I13" s="10" t="n">
        <v>57.5679</v>
      </c>
      <c r="J13" s="10" t="n">
        <v>4.247</v>
      </c>
      <c r="K13" s="11" t="n">
        <v>0.07964981836390608</v>
      </c>
      <c r="L13" s="12" t="n">
        <v>6260.67</v>
      </c>
      <c r="M13" s="12" t="n">
        <v>6991.29</v>
      </c>
      <c r="N13" s="12" t="n">
        <v>730.62</v>
      </c>
      <c r="O13" s="13" t="n">
        <v>0.1166999698115377</v>
      </c>
    </row>
    <row r="14">
      <c r="A14" s="5" t="n">
        <v>46298</v>
      </c>
      <c r="B14" s="6" t="n">
        <v>0.4250694444444444</v>
      </c>
      <c r="C14" s="25" t="inlineStr">
        <is>
          <t>Garanti BBVA</t>
        </is>
      </c>
      <c r="D14" s="8" t="n">
        <v>47.9</v>
      </c>
      <c r="E14" s="8" t="n">
        <v>49.9</v>
      </c>
      <c r="F14" s="8" t="n">
        <v>2</v>
      </c>
      <c r="G14" s="9" t="n">
        <v>0.04175365344467642</v>
      </c>
      <c r="H14" s="10" t="n">
        <v>53.926</v>
      </c>
      <c r="I14" s="10" t="n">
        <v>56.177</v>
      </c>
      <c r="J14" s="10" t="n">
        <v>2.251</v>
      </c>
      <c r="K14" s="11" t="n">
        <v>0.04174238771650039</v>
      </c>
      <c r="L14" s="12" t="n">
        <v>6311.74</v>
      </c>
      <c r="M14" s="12" t="n">
        <v>6756.98</v>
      </c>
      <c r="N14" s="12" t="n">
        <v>445.24</v>
      </c>
      <c r="O14" s="13" t="n">
        <v>0.07054156223165087</v>
      </c>
    </row>
    <row r="15">
      <c r="A15" s="5" t="n">
        <v>46298</v>
      </c>
      <c r="B15" s="6" t="n">
        <v>0.4250694444444444</v>
      </c>
      <c r="C15" s="26" t="inlineStr">
        <is>
          <t>Getirfinans</t>
        </is>
      </c>
      <c r="D15" s="8" t="n">
        <v>47.6466</v>
      </c>
      <c r="E15" s="8" t="n">
        <v>50.7489</v>
      </c>
      <c r="F15" s="8" t="n">
        <v>3.1023</v>
      </c>
      <c r="G15" s="9" t="n">
        <v>0.06511062699122289</v>
      </c>
      <c r="H15" s="10" t="n">
        <v>53.3209</v>
      </c>
      <c r="I15" s="10" t="n">
        <v>57.5679</v>
      </c>
      <c r="J15" s="10" t="n">
        <v>4.247</v>
      </c>
      <c r="K15" s="11" t="n">
        <v>0.07964981836390608</v>
      </c>
      <c r="L15" s="12" t="n">
        <v>6260.67</v>
      </c>
      <c r="M15" s="12" t="n">
        <v>6991.29</v>
      </c>
      <c r="N15" s="12" t="n">
        <v>730.62</v>
      </c>
      <c r="O15" s="13" t="n">
        <v>0.1166999698115377</v>
      </c>
    </row>
    <row r="16">
      <c r="A16" s="5" t="n">
        <v>46298</v>
      </c>
      <c r="B16" s="6" t="n">
        <v>0.4250694444444444</v>
      </c>
      <c r="C16" s="27" t="inlineStr">
        <is>
          <t>Halkbank</t>
        </is>
      </c>
      <c r="D16" s="8" t="n">
        <v>47.8648</v>
      </c>
      <c r="E16" s="8" t="n">
        <v>50.5648</v>
      </c>
      <c r="F16" s="8" t="n">
        <v>2.7</v>
      </c>
      <c r="G16" s="9" t="n">
        <v>0.05640888502615701</v>
      </c>
      <c r="H16" s="10" t="n">
        <v>54.0034</v>
      </c>
      <c r="I16" s="10" t="n">
        <v>57.0497</v>
      </c>
      <c r="J16" s="10" t="n">
        <v>3.0463</v>
      </c>
      <c r="K16" s="11" t="n">
        <v>0.05640941125929108</v>
      </c>
      <c r="L16" s="12" t="n">
        <v>6210.34</v>
      </c>
      <c r="M16" s="12" t="n">
        <v>7105.84</v>
      </c>
      <c r="N16" s="12" t="n">
        <v>895.5</v>
      </c>
      <c r="O16" s="13" t="n">
        <v>0.1441950038162162</v>
      </c>
    </row>
    <row r="17">
      <c r="A17" s="5" t="n">
        <v>46298</v>
      </c>
      <c r="B17" s="6" t="n">
        <v>0.4250694444444444</v>
      </c>
      <c r="C17" s="28" t="inlineStr">
        <is>
          <t>Harem</t>
        </is>
      </c>
      <c r="D17" s="8" t="n">
        <v>49.045</v>
      </c>
      <c r="E17" s="8" t="n">
        <v>49.18</v>
      </c>
      <c r="F17" s="8" t="n">
        <v>0.135</v>
      </c>
      <c r="G17" s="9" t="n">
        <v>0.00275257416658171</v>
      </c>
      <c r="H17" s="10" t="n">
        <v>55.077</v>
      </c>
      <c r="I17" s="10" t="n">
        <v>55.307</v>
      </c>
      <c r="J17" s="10" t="n">
        <v>0.23</v>
      </c>
      <c r="K17" s="11" t="n">
        <v>0.004175971821268406</v>
      </c>
      <c r="L17" s="12" t="n">
        <v>6507.63</v>
      </c>
      <c r="M17" s="12" t="n">
        <v>6606.79</v>
      </c>
      <c r="N17" s="12" t="n">
        <v>99.16</v>
      </c>
      <c r="O17" s="13" t="n">
        <v>0.01523749813680249</v>
      </c>
    </row>
    <row r="18">
      <c r="A18" s="5" t="n">
        <v>46298</v>
      </c>
      <c r="B18" s="6" t="n">
        <v>0.4250694444444444</v>
      </c>
      <c r="C18" s="29" t="inlineStr">
        <is>
          <t>Hayat Finans</t>
        </is>
      </c>
      <c r="D18" s="8" t="n">
        <v>48.6232</v>
      </c>
      <c r="E18" s="8" t="n">
        <v>49.2909</v>
      </c>
      <c r="F18" s="8" t="n">
        <v>0.6677</v>
      </c>
      <c r="G18" s="9" t="n">
        <v>0.01373212787311407</v>
      </c>
      <c r="H18" s="10" t="n">
        <v>54.4354</v>
      </c>
      <c r="I18" s="10" t="n">
        <v>55.443</v>
      </c>
      <c r="J18" s="10" t="n">
        <v>1.0076</v>
      </c>
      <c r="K18" s="11" t="n">
        <v>0.01851001370431741</v>
      </c>
      <c r="L18" s="12" t="n">
        <v>6466.9</v>
      </c>
      <c r="M18" s="12" t="n">
        <v>6622.19</v>
      </c>
      <c r="N18" s="12" t="n">
        <v>155.29</v>
      </c>
      <c r="O18" s="13" t="n">
        <v>0.02401305107547666</v>
      </c>
    </row>
    <row r="19">
      <c r="A19" s="5" t="n">
        <v>46298</v>
      </c>
      <c r="B19" s="6" t="n">
        <v>0.4250694444444444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6431.22</v>
      </c>
      <c r="M19" s="12" t="n">
        <v>6620.25</v>
      </c>
      <c r="N19" s="12" t="n">
        <v>189.03</v>
      </c>
      <c r="O19" s="13" t="n">
        <v>0.02939255693321019</v>
      </c>
    </row>
    <row r="20">
      <c r="A20" s="5" t="n">
        <v>46298</v>
      </c>
      <c r="B20" s="6" t="n">
        <v>0.4250694444444444</v>
      </c>
      <c r="C20" s="31" t="inlineStr">
        <is>
          <t>HSBC</t>
        </is>
      </c>
      <c r="D20" s="8" t="n">
        <v>48.281</v>
      </c>
      <c r="E20" s="8" t="n">
        <v>50.2473</v>
      </c>
      <c r="F20" s="8" t="n">
        <v>1.9663</v>
      </c>
      <c r="G20" s="9" t="n">
        <v>0.04072616557237838</v>
      </c>
      <c r="H20" s="10" t="n">
        <v>53.8712</v>
      </c>
      <c r="I20" s="10" t="n">
        <v>57.0475</v>
      </c>
      <c r="J20" s="10" t="n">
        <v>3.1763</v>
      </c>
      <c r="K20" s="11" t="n">
        <v>0.05896100328190202</v>
      </c>
      <c r="L20" s="12" t="n">
        <v>6368.34</v>
      </c>
      <c r="M20" s="12" t="n">
        <v>7012.29</v>
      </c>
      <c r="N20" s="12" t="n">
        <v>643.95</v>
      </c>
      <c r="O20" s="13" t="n">
        <v>0.1011174026512404</v>
      </c>
    </row>
    <row r="21">
      <c r="A21" s="5" t="n">
        <v>46298</v>
      </c>
      <c r="B21" s="6" t="n">
        <v>0.4250694444444444</v>
      </c>
      <c r="C21" s="32" t="inlineStr">
        <is>
          <t>ING Bank</t>
        </is>
      </c>
      <c r="D21" s="8" t="n">
        <v>47.7617</v>
      </c>
      <c r="E21" s="8" t="n">
        <v>50.2312</v>
      </c>
      <c r="F21" s="8" t="n">
        <v>2.4695</v>
      </c>
      <c r="G21" s="9" t="n">
        <v>0.05170460850430365</v>
      </c>
      <c r="H21" s="10" t="n">
        <v>53.9662</v>
      </c>
      <c r="I21" s="10" t="n">
        <v>56.3462</v>
      </c>
      <c r="J21" s="10" t="n">
        <v>2.38</v>
      </c>
      <c r="K21" s="11" t="n">
        <v>0.04410167845799778</v>
      </c>
      <c r="L21" s="12" t="n">
        <v>6291.39</v>
      </c>
      <c r="M21" s="12" t="n">
        <v>6756.91</v>
      </c>
      <c r="N21" s="12" t="n">
        <v>465.52</v>
      </c>
      <c r="O21" s="13" t="n">
        <v>0.07399318751500066</v>
      </c>
    </row>
    <row r="22">
      <c r="A22" s="5" t="n">
        <v>46298</v>
      </c>
      <c r="B22" s="6" t="n">
        <v>0.4250694444444444</v>
      </c>
      <c r="C22" s="33" t="inlineStr">
        <is>
          <t>İş Bankası</t>
        </is>
      </c>
      <c r="D22" s="8" t="n">
        <v>47.8107</v>
      </c>
      <c r="E22" s="8" t="n">
        <v>50.4806</v>
      </c>
      <c r="F22" s="8" t="n">
        <v>2.6699</v>
      </c>
      <c r="G22" s="9" t="n">
        <v>0.05584314808191472</v>
      </c>
      <c r="H22" s="10" t="n">
        <v>53.7966</v>
      </c>
      <c r="I22" s="10" t="n">
        <v>56.8058</v>
      </c>
      <c r="J22" s="10" t="n">
        <v>3.0092</v>
      </c>
      <c r="K22" s="11" t="n">
        <v>0.05593662052992197</v>
      </c>
      <c r="L22" s="12" t="n">
        <v>6123.1</v>
      </c>
      <c r="M22" s="12" t="n">
        <v>6938.45</v>
      </c>
      <c r="N22" s="12" t="n">
        <v>815.35</v>
      </c>
      <c r="O22" s="13" t="n">
        <v>0.1331596740213291</v>
      </c>
    </row>
    <row r="23">
      <c r="A23" s="5" t="n">
        <v>46298</v>
      </c>
      <c r="B23" s="6" t="n">
        <v>0.4250694444444444</v>
      </c>
      <c r="C23" s="34" t="inlineStr">
        <is>
          <t>Kapalıçarşı</t>
        </is>
      </c>
      <c r="D23" s="8" t="n">
        <v>49.12</v>
      </c>
      <c r="E23" s="8" t="n">
        <v>49.13</v>
      </c>
      <c r="F23" s="8" t="n">
        <v>0.01</v>
      </c>
      <c r="G23" s="9" t="n">
        <v>0.0002035830618892508</v>
      </c>
      <c r="H23" s="10" t="n">
        <v>55.25</v>
      </c>
      <c r="I23" s="10" t="n">
        <v>55.3</v>
      </c>
      <c r="J23" s="10" t="n">
        <v>0.05</v>
      </c>
      <c r="K23" s="11" t="n">
        <v>0.0009049773755656108</v>
      </c>
      <c r="L23" s="12" t="n">
        <v>6625.03</v>
      </c>
      <c r="M23" s="12" t="n">
        <v>6636.25</v>
      </c>
      <c r="N23" s="12" t="n">
        <v>11.22</v>
      </c>
      <c r="O23" s="13" t="n">
        <v>0.001693577236631381</v>
      </c>
    </row>
    <row r="24">
      <c r="A24" s="5" t="n">
        <v>46298</v>
      </c>
      <c r="B24" s="6" t="n">
        <v>0.4250694444444444</v>
      </c>
      <c r="C24" s="35" t="inlineStr">
        <is>
          <t>Kuveyt Türk</t>
        </is>
      </c>
      <c r="D24" s="8" t="n">
        <v>45.4751</v>
      </c>
      <c r="E24" s="8" t="n">
        <v>50.0719</v>
      </c>
      <c r="F24" s="8" t="n">
        <v>4.5968</v>
      </c>
      <c r="G24" s="9" t="n">
        <v>0.1010838898650031</v>
      </c>
      <c r="H24" s="10" t="n">
        <v>51.1567</v>
      </c>
      <c r="I24" s="10" t="n">
        <v>56.3799</v>
      </c>
      <c r="J24" s="10" t="n">
        <v>5.2232</v>
      </c>
      <c r="K24" s="11" t="n">
        <v>0.1021019729575989</v>
      </c>
      <c r="L24" s="12" t="n">
        <v>6104.08</v>
      </c>
      <c r="M24" s="12" t="n">
        <v>6702.36</v>
      </c>
      <c r="N24" s="12" t="n">
        <v>598.28</v>
      </c>
      <c r="O24" s="13" t="n">
        <v>0.09801313220010222</v>
      </c>
    </row>
    <row r="25">
      <c r="A25" s="5" t="n">
        <v>46298</v>
      </c>
      <c r="B25" s="6" t="n">
        <v>0.4250694444444444</v>
      </c>
      <c r="C25" s="36" t="inlineStr">
        <is>
          <t>Merkez Bankası</t>
        </is>
      </c>
      <c r="D25" s="8" t="n">
        <v>48.9699</v>
      </c>
      <c r="E25" s="8" t="n">
        <v>49.0582</v>
      </c>
      <c r="F25" s="8" t="n">
        <v>0.0883</v>
      </c>
      <c r="G25" s="9" t="n">
        <v>0.001803148464669113</v>
      </c>
      <c r="H25" s="10" t="n">
        <v>55.0826</v>
      </c>
      <c r="I25" s="10" t="n">
        <v>55.1819</v>
      </c>
      <c r="J25" s="10" t="n">
        <v>0.0993</v>
      </c>
      <c r="K25" s="11" t="n">
        <v>0.001802747147011942</v>
      </c>
      <c r="L25" s="12" t="n"/>
      <c r="M25" s="12" t="n"/>
      <c r="N25" s="12" t="n"/>
      <c r="O25" s="13" t="n"/>
    </row>
    <row r="26">
      <c r="A26" s="5" t="n">
        <v>46298</v>
      </c>
      <c r="B26" s="6" t="n">
        <v>0.4250694444444444</v>
      </c>
      <c r="C26" s="37" t="inlineStr">
        <is>
          <t>Misyon Bank</t>
        </is>
      </c>
      <c r="D26" s="8" t="n">
        <v>48.7607</v>
      </c>
      <c r="E26" s="8" t="n">
        <v>49.2323</v>
      </c>
      <c r="F26" s="8" t="n">
        <v>0.4716</v>
      </c>
      <c r="G26" s="9" t="n">
        <v>0.009671723334570668</v>
      </c>
      <c r="H26" s="10" t="n">
        <v>53.6754</v>
      </c>
      <c r="I26" s="10" t="n">
        <v>56.5475</v>
      </c>
      <c r="J26" s="10" t="n">
        <v>2.8721</v>
      </c>
      <c r="K26" s="11" t="n">
        <v>0.0535086836800471</v>
      </c>
      <c r="L26" s="12" t="n">
        <v>6450.23</v>
      </c>
      <c r="M26" s="12" t="n">
        <v>6533.03</v>
      </c>
      <c r="N26" s="12" t="n">
        <v>82.8</v>
      </c>
      <c r="O26" s="13" t="n">
        <v>0.01283675155769639</v>
      </c>
    </row>
    <row r="27">
      <c r="A27" s="5" t="n">
        <v>46298</v>
      </c>
      <c r="B27" s="6" t="n">
        <v>0.4250694444444444</v>
      </c>
      <c r="C27" s="38" t="inlineStr">
        <is>
          <t>Odacı</t>
        </is>
      </c>
      <c r="D27" s="8" t="n">
        <v>49.133</v>
      </c>
      <c r="E27" s="8" t="n">
        <v>49.15</v>
      </c>
      <c r="F27" s="8" t="n">
        <v>0.017</v>
      </c>
      <c r="G27" s="9" t="n">
        <v>0.0003459996336474467</v>
      </c>
      <c r="H27" s="10" t="n">
        <v>55.167</v>
      </c>
      <c r="I27" s="10" t="n">
        <v>55.238</v>
      </c>
      <c r="J27" s="10" t="n">
        <v>0.07099999999999999</v>
      </c>
      <c r="K27" s="11" t="n">
        <v>0.001287001287001287</v>
      </c>
      <c r="L27" s="12" t="n">
        <v>6532</v>
      </c>
      <c r="M27" s="12" t="n">
        <v>6579</v>
      </c>
      <c r="N27" s="12" t="n">
        <v>47</v>
      </c>
      <c r="O27" s="13" t="n">
        <v>0.007195345988977342</v>
      </c>
    </row>
    <row r="28">
      <c r="A28" s="5" t="n">
        <v>46298</v>
      </c>
      <c r="B28" s="6" t="n">
        <v>0.4250694444444444</v>
      </c>
      <c r="C28" s="39" t="inlineStr">
        <is>
          <t>Odeabank</t>
        </is>
      </c>
      <c r="D28" s="8" t="n">
        <v>48.1135</v>
      </c>
      <c r="E28" s="8" t="n">
        <v>49.9135</v>
      </c>
      <c r="F28" s="8" t="n">
        <v>1.8</v>
      </c>
      <c r="G28" s="9" t="n">
        <v>0.03741153730242032</v>
      </c>
      <c r="H28" s="10" t="n">
        <v>54.085</v>
      </c>
      <c r="I28" s="10" t="n">
        <v>56.225</v>
      </c>
      <c r="J28" s="10" t="n">
        <v>2.14</v>
      </c>
      <c r="K28" s="11" t="n">
        <v>0.03956734769344551</v>
      </c>
      <c r="L28" s="12" t="n">
        <v>6350.76</v>
      </c>
      <c r="M28" s="12" t="n">
        <v>6700.76</v>
      </c>
      <c r="N28" s="12" t="n">
        <v>350</v>
      </c>
      <c r="O28" s="13" t="n">
        <v>0.05511151421247221</v>
      </c>
    </row>
    <row r="29">
      <c r="A29" s="5" t="n">
        <v>46298</v>
      </c>
      <c r="B29" s="6" t="n">
        <v>0.4250694444444444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6431.13</v>
      </c>
      <c r="M29" s="12" t="n">
        <v>6606.94</v>
      </c>
      <c r="N29" s="12" t="n">
        <v>175.81</v>
      </c>
      <c r="O29" s="13" t="n">
        <v>0.02733734196012209</v>
      </c>
    </row>
    <row r="30">
      <c r="A30" s="5" t="n">
        <v>46298</v>
      </c>
      <c r="B30" s="6" t="n">
        <v>0.4250694444444444</v>
      </c>
      <c r="C30" s="41" t="inlineStr">
        <is>
          <t>QNB Finansbank</t>
        </is>
      </c>
      <c r="D30" s="8" t="n">
        <v>47.635</v>
      </c>
      <c r="E30" s="8" t="n">
        <v>50.655</v>
      </c>
      <c r="F30" s="8" t="n">
        <v>3.02</v>
      </c>
      <c r="G30" s="9" t="n">
        <v>0.06339876141492601</v>
      </c>
      <c r="H30" s="10" t="n">
        <v>53.0623</v>
      </c>
      <c r="I30" s="10" t="n">
        <v>57.583</v>
      </c>
      <c r="J30" s="10" t="n">
        <v>4.5207</v>
      </c>
      <c r="K30" s="11" t="n">
        <v>0.08519608083328464</v>
      </c>
      <c r="L30" s="12" t="n">
        <v>6221.38</v>
      </c>
      <c r="M30" s="12" t="n">
        <v>6811.76</v>
      </c>
      <c r="N30" s="12" t="n">
        <v>590.38</v>
      </c>
      <c r="O30" s="13" t="n">
        <v>0.09489534476273752</v>
      </c>
    </row>
    <row r="31">
      <c r="A31" s="5" t="n">
        <v>46298</v>
      </c>
      <c r="B31" s="6" t="n">
        <v>0.4250694444444444</v>
      </c>
      <c r="C31" s="42" t="inlineStr">
        <is>
          <t>TOM Bank Hadi</t>
        </is>
      </c>
      <c r="D31" s="8" t="n">
        <v>48.8257</v>
      </c>
      <c r="E31" s="8" t="n">
        <v>49.3784</v>
      </c>
      <c r="F31" s="8" t="n">
        <v>0.5527</v>
      </c>
      <c r="G31" s="9" t="n">
        <v>0.01131985818943712</v>
      </c>
      <c r="H31" s="10" t="n">
        <v>54.7324</v>
      </c>
      <c r="I31" s="10" t="n">
        <v>55.5616</v>
      </c>
      <c r="J31" s="10" t="n">
        <v>0.8292</v>
      </c>
      <c r="K31" s="11" t="n">
        <v>0.01515007564075392</v>
      </c>
      <c r="L31" s="12" t="n">
        <v>6430.61</v>
      </c>
      <c r="M31" s="12" t="n">
        <v>7000.41</v>
      </c>
      <c r="N31" s="12" t="n">
        <v>569.8</v>
      </c>
      <c r="O31" s="13" t="n">
        <v>0.08860745714636714</v>
      </c>
    </row>
    <row r="32">
      <c r="A32" s="5" t="n">
        <v>46298</v>
      </c>
      <c r="B32" s="6" t="n">
        <v>0.4250694444444444</v>
      </c>
      <c r="C32" s="43" t="inlineStr">
        <is>
          <t>Türkiye Finans</t>
        </is>
      </c>
      <c r="D32" s="8" t="n">
        <v>48.1945</v>
      </c>
      <c r="E32" s="8" t="n">
        <v>49.5599</v>
      </c>
      <c r="F32" s="8" t="n">
        <v>1.3654</v>
      </c>
      <c r="G32" s="9" t="n">
        <v>0.02833103362416873</v>
      </c>
      <c r="H32" s="10" t="n">
        <v>54.2385</v>
      </c>
      <c r="I32" s="10" t="n">
        <v>55.7653</v>
      </c>
      <c r="J32" s="10" t="n">
        <v>1.5268</v>
      </c>
      <c r="K32" s="11" t="n">
        <v>0.02814974602911216</v>
      </c>
      <c r="L32" s="12" t="n">
        <v>6373.38</v>
      </c>
      <c r="M32" s="12" t="n">
        <v>6648.67</v>
      </c>
      <c r="N32" s="12" t="n">
        <v>275.29</v>
      </c>
      <c r="O32" s="13" t="n">
        <v>0.04319372138488526</v>
      </c>
    </row>
    <row r="33">
      <c r="A33" s="5" t="n">
        <v>46298</v>
      </c>
      <c r="B33" s="6" t="n">
        <v>0.4250694444444444</v>
      </c>
      <c r="C33" s="44" t="inlineStr">
        <is>
          <t>Vakıf Katılım</t>
        </is>
      </c>
      <c r="D33" s="8" t="n">
        <v>48.8007</v>
      </c>
      <c r="E33" s="8" t="n">
        <v>49.2133</v>
      </c>
      <c r="F33" s="8" t="n">
        <v>0.4126</v>
      </c>
      <c r="G33" s="9" t="n">
        <v>0.008454796754964581</v>
      </c>
      <c r="H33" s="10" t="n">
        <v>54.886</v>
      </c>
      <c r="I33" s="10" t="n">
        <v>55.3294</v>
      </c>
      <c r="J33" s="10" t="n">
        <v>0.4434</v>
      </c>
      <c r="K33" s="11" t="n">
        <v>0.008078562839339722</v>
      </c>
      <c r="L33" s="12" t="n">
        <v>6434.51</v>
      </c>
      <c r="M33" s="12" t="n">
        <v>6538.3</v>
      </c>
      <c r="N33" s="12" t="n">
        <v>103.79</v>
      </c>
      <c r="O33" s="13" t="n">
        <v>0.01613021038121007</v>
      </c>
    </row>
    <row r="34">
      <c r="A34" s="5" t="n">
        <v>46298</v>
      </c>
      <c r="B34" s="6" t="n">
        <v>0.4250694444444444</v>
      </c>
      <c r="C34" s="45" t="inlineStr">
        <is>
          <t>Vakıfbank</t>
        </is>
      </c>
      <c r="D34" s="8" t="n">
        <v>47.7699</v>
      </c>
      <c r="E34" s="8" t="n">
        <v>50.5549</v>
      </c>
      <c r="F34" s="8" t="n">
        <v>2.785</v>
      </c>
      <c r="G34" s="9" t="n">
        <v>0.05830031044653641</v>
      </c>
      <c r="H34" s="10" t="n">
        <v>53.7972</v>
      </c>
      <c r="I34" s="10" t="n">
        <v>56.9552</v>
      </c>
      <c r="J34" s="10" t="n">
        <v>3.158</v>
      </c>
      <c r="K34" s="11" t="n">
        <v>0.05870193987791186</v>
      </c>
      <c r="L34" s="12" t="n">
        <v>6229.75</v>
      </c>
      <c r="M34" s="12" t="n">
        <v>7126.75</v>
      </c>
      <c r="N34" s="12" t="n">
        <v>897</v>
      </c>
      <c r="O34" s="13" t="n">
        <v>0.1439865163128536</v>
      </c>
    </row>
    <row r="35">
      <c r="A35" s="5" t="n">
        <v>46298</v>
      </c>
      <c r="B35" s="6" t="n">
        <v>0.4250694444444444</v>
      </c>
      <c r="C35" s="46" t="inlineStr">
        <is>
          <t>Venüs</t>
        </is>
      </c>
      <c r="D35" s="8" t="n">
        <v>49.046</v>
      </c>
      <c r="E35" s="8" t="n">
        <v>49.173</v>
      </c>
      <c r="F35" s="8" t="n">
        <v>0.127</v>
      </c>
      <c r="G35" s="9" t="n">
        <v>0.002589405863882885</v>
      </c>
      <c r="H35" s="10" t="n">
        <v>55.088</v>
      </c>
      <c r="I35" s="10" t="n">
        <v>55.31</v>
      </c>
      <c r="J35" s="10" t="n">
        <v>0.222</v>
      </c>
      <c r="K35" s="11" t="n">
        <v>0.004029915771129829</v>
      </c>
      <c r="L35" s="12" t="n"/>
      <c r="M35" s="12" t="n"/>
      <c r="N35" s="12" t="n"/>
      <c r="O35" s="13" t="n"/>
    </row>
    <row r="36">
      <c r="A36" s="5" t="n">
        <v>46298</v>
      </c>
      <c r="B36" s="6" t="n">
        <v>0.4250694444444444</v>
      </c>
      <c r="C36" s="47" t="inlineStr">
        <is>
          <t>Yapıkredi</t>
        </is>
      </c>
      <c r="D36" s="8" t="n">
        <v>47.67</v>
      </c>
      <c r="E36" s="8" t="n">
        <v>50.31</v>
      </c>
      <c r="F36" s="8" t="n">
        <v>2.64</v>
      </c>
      <c r="G36" s="9" t="n">
        <v>0.0553807426054122</v>
      </c>
      <c r="H36" s="10" t="n">
        <v>53.75</v>
      </c>
      <c r="I36" s="10" t="n">
        <v>56.49</v>
      </c>
      <c r="J36" s="10" t="n">
        <v>2.74</v>
      </c>
      <c r="K36" s="11" t="n">
        <v>0.05097674418604651</v>
      </c>
      <c r="L36" s="12" t="n">
        <v>6305.67</v>
      </c>
      <c r="M36" s="12" t="n">
        <v>6827.78</v>
      </c>
      <c r="N36" s="12" t="n">
        <v>522.11</v>
      </c>
      <c r="O36" s="13" t="n">
        <v>0.08280008309981333</v>
      </c>
    </row>
    <row r="37">
      <c r="A37" s="5" t="n">
        <v>46298</v>
      </c>
      <c r="B37" s="6" t="n">
        <v>0.4250694444444444</v>
      </c>
      <c r="C37" s="48" t="inlineStr">
        <is>
          <t>Ziraat Bankası</t>
        </is>
      </c>
      <c r="D37" s="8" t="n">
        <v>47.6923</v>
      </c>
      <c r="E37" s="8" t="n">
        <v>50.5958</v>
      </c>
      <c r="F37" s="8" t="n">
        <v>2.9035</v>
      </c>
      <c r="G37" s="9" t="n">
        <v>0.06087984852900782</v>
      </c>
      <c r="H37" s="10" t="n">
        <v>53.7613</v>
      </c>
      <c r="I37" s="10" t="n">
        <v>57.0344</v>
      </c>
      <c r="J37" s="10" t="n">
        <v>3.2731</v>
      </c>
      <c r="K37" s="11" t="n">
        <v>0.06088208432459781</v>
      </c>
      <c r="L37" s="12" t="n">
        <v>6308.46</v>
      </c>
      <c r="M37" s="12" t="n">
        <v>7221.22</v>
      </c>
      <c r="N37" s="12" t="n">
        <v>912.76</v>
      </c>
      <c r="O37" s="13" t="n">
        <v>0.1446882440405424</v>
      </c>
    </row>
    <row r="38">
      <c r="A38" s="5" t="n">
        <v>46298</v>
      </c>
      <c r="B38" s="6" t="n">
        <v>0.4250694444444444</v>
      </c>
      <c r="C38" s="49" t="inlineStr">
        <is>
          <t>Ziraat Dinamik</t>
        </is>
      </c>
      <c r="D38" s="8" t="n">
        <v>47.74</v>
      </c>
      <c r="E38" s="8" t="n">
        <v>50.3175</v>
      </c>
      <c r="F38" s="8" t="n">
        <v>2.5775</v>
      </c>
      <c r="G38" s="9" t="n">
        <v>0.05399036447423544</v>
      </c>
      <c r="H38" s="10" t="n">
        <v>53.7613</v>
      </c>
      <c r="I38" s="10" t="n">
        <v>56.7207</v>
      </c>
      <c r="J38" s="10" t="n">
        <v>2.9594</v>
      </c>
      <c r="K38" s="11" t="n">
        <v>0.05504703197281316</v>
      </c>
      <c r="L38" s="12" t="n">
        <v>6276.92</v>
      </c>
      <c r="M38" s="12" t="n">
        <v>7185.11</v>
      </c>
      <c r="N38" s="12" t="n">
        <v>908.1900000000001</v>
      </c>
      <c r="O38" s="13" t="n">
        <v>0.1446872032780408</v>
      </c>
    </row>
    <row r="39">
      <c r="A39" s="5" t="n">
        <v>46298</v>
      </c>
      <c r="B39" s="6" t="n">
        <v>0.4250694444444444</v>
      </c>
      <c r="C39" s="50" t="inlineStr">
        <is>
          <t>Ziraat Katılım</t>
        </is>
      </c>
      <c r="D39" s="8" t="n">
        <v>43.7461</v>
      </c>
      <c r="E39" s="8" t="n">
        <v>54.5831</v>
      </c>
      <c r="F39" s="8" t="n">
        <v>10.837</v>
      </c>
      <c r="G39" s="9" t="n">
        <v>0.2477249400517989</v>
      </c>
      <c r="H39" s="10" t="n">
        <v>49.2885</v>
      </c>
      <c r="I39" s="10" t="n">
        <v>61.5594</v>
      </c>
      <c r="J39" s="10" t="n">
        <v>12.2709</v>
      </c>
      <c r="K39" s="11" t="n">
        <v>0.2489607109163395</v>
      </c>
      <c r="L39" s="12" t="n">
        <v>5839.08</v>
      </c>
      <c r="M39" s="12" t="n">
        <v>7363.39</v>
      </c>
      <c r="N39" s="12" t="n">
        <v>1524.31</v>
      </c>
      <c r="O39" s="13" t="n">
        <v>0.2610531111065442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9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</hyperlinks>
  <pageMargins left="0.75" right="0.75" top="1" bottom="1" header="0.5" footer="0.5"/>
  <tableParts count="1">
    <tablePart xmlns:r="http://schemas.openxmlformats.org/officeDocument/2006/relationships" r:id="rId398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46298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0.4250694444444444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0.04175365344467642</v>
      </c>
      <c r="O5" s="67" t="inlineStr">
        <is>
          <t>Garanti BBVA</t>
        </is>
      </c>
      <c r="P5" s="73" t="n">
        <v>47.9</v>
      </c>
      <c r="Q5" s="73" t="n">
        <v>49.9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0.04174238771650039</v>
      </c>
      <c r="O6" s="67" t="inlineStr">
        <is>
          <t>Garanti BBVA</t>
        </is>
      </c>
      <c r="P6" s="73" t="n">
        <v>53.926</v>
      </c>
      <c r="Q6" s="73" t="n">
        <v>56.177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0.07054156223165087</v>
      </c>
      <c r="O7" s="67" t="inlineStr">
        <is>
          <t>Garanti BBVA</t>
        </is>
      </c>
      <c r="P7" s="73" t="n">
        <v>6311.74</v>
      </c>
      <c r="Q7" s="73" t="n">
        <v>6756.98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0.03258911628959821</v>
      </c>
      <c r="I15" s="69" t="n">
        <v>0.03258359428929338</v>
      </c>
      <c r="J15" s="70" t="n">
        <v>0.04803572532998753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0.03754060406129702</v>
      </c>
      <c r="I16" s="69" t="n">
        <v>0.03763308793890035</v>
      </c>
      <c r="J16" s="70" t="n">
        <v>0.05171366001494213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0.03222724835967911</v>
      </c>
      <c r="I17" s="69" t="n">
        <v>0.03071838878412929</v>
      </c>
      <c r="J17" s="70" t="n">
        <v>0.04834663990636715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0.03377967715346088</v>
      </c>
      <c r="I18" s="69" t="n">
        <v>0.0337808834872047</v>
      </c>
      <c r="J18" s="70" t="n">
        <v>0.06169076208769816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0.03481024381964123</v>
      </c>
      <c r="I19" s="69" t="n">
        <v>0.03490391964383235</v>
      </c>
      <c r="J19" s="70" t="n">
        <v>0.06269221989225181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0.03258911628959821</v>
      </c>
      <c r="V4" s="55" t="n">
        <v>0.03754060406129702</v>
      </c>
      <c r="W4" s="55" t="n">
        <v>0.03222724835967911</v>
      </c>
      <c r="X4" s="55" t="n">
        <v>0.03377967715346088</v>
      </c>
      <c r="Y4" s="55" t="n">
        <v>0.03481024381964123</v>
      </c>
      <c r="Z4" s="55" t="n">
        <v>0.03258359428929338</v>
      </c>
      <c r="AA4" s="55" t="n">
        <v>0.03763308793890035</v>
      </c>
      <c r="AB4" s="55" t="n">
        <v>0.03071838878412929</v>
      </c>
      <c r="AC4" s="55" t="n">
        <v>0.0337808834872047</v>
      </c>
      <c r="AD4" s="55" t="n">
        <v>0.03490391964383235</v>
      </c>
      <c r="AE4" s="55" t="n">
        <v>0.04803572532998753</v>
      </c>
      <c r="AF4" s="55" t="n">
        <v>0.05171366001494213</v>
      </c>
      <c r="AG4" s="55" t="n">
        <v>0.04834663990636715</v>
      </c>
      <c r="AH4" s="55" t="n">
        <v>0.06169076208769816</v>
      </c>
      <c r="AI4" s="55" t="n">
        <v>0.06269221989225181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2026-10-03T07:12:47Z</dcterms:created>
  <dcterms:modified xsi:type="dcterms:W3CDTF">2026-10-03T07:12:48Z</dcterms:modified>
</cp:coreProperties>
</file>