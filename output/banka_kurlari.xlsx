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'GRAFIK_VERILERI'!$B$2:$B$34</f>
              <numCache>
                <formatCode>0.00%</formatCode>
                <ptCount val="3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'GRAFIK_VERILERI'!$C$2:$C$34</f>
              <numCache>
                <formatCode>0.00%</formatCode>
                <ptCount val="3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'GRAFIK_VERILERI'!$D$2:$D$34</f>
              <numCache>
                <formatCode>0.00%</formatCode>
                <ptCount val="3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'GRAFIK_VERILERI'!$E$2:$E$34</f>
              <numCache>
                <formatCode>0.00%</formatCode>
                <ptCount val="3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'GRAFIK_VERILERI'!$F$2:$F$34</f>
              <numCache>
                <formatCode>0.00%</formatCode>
                <ptCount val="3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'GRAFIK_VERILERI'!$G$2:$G$34</f>
              <numCache>
                <formatCode>0.00%</formatCode>
                <ptCount val="3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'GRAFIK_VERILERI'!$H$2:$H$34</f>
              <numCache>
                <formatCode>0.00%</formatCode>
                <ptCount val="3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'GRAFIK_VERILERI'!$I$2:$I$34</f>
              <numCache>
                <formatCode>0.00%</formatCode>
                <ptCount val="3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'GRAFIK_VERILERI'!$J$2:$J$34</f>
              <numCache>
                <formatCode>0.00%</formatCode>
                <ptCount val="3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'GRAFIK_VERILERI'!$K$2:$K$34</f>
              <numCache>
                <formatCode>0.00%</formatCode>
                <ptCount val="3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'GRAFIK_VERILERI'!$L$2:$L$34</f>
              <numCache>
                <formatCode>0.00%</formatCode>
                <ptCount val="3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'GRAFIK_VERILERI'!$M$2:$M$34</f>
              <numCache>
                <formatCode>0.00%</formatCode>
                <ptCount val="3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'GRAFIK_VERILERI'!$N$2:$N$34</f>
              <numCache>
                <formatCode>0.00%</formatCode>
                <ptCount val="3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'GRAFIK_VERILERI'!$O$2:$O$34</f>
              <numCache>
                <formatCode>0.00%</formatCode>
                <ptCount val="3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'GRAFIK_VERILERI'!$P$2:$P$34</f>
              <numCache>
                <formatCode>0.00%</formatCode>
                <ptCount val="3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0.03256237928653154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0.03722446148659075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0.03048720157995023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0.03284561971752626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0.03413051564773731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17555245469066"/>
          <min val="0.0279191558136797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0.03256365469154657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0.03732137182052088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0.02860152388932074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0.032845466541044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0.03424598349657088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8758455440082"/>
          <min val="0.0251744384561006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0.04736180425191828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0.05095482794790715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0.04373516490161448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0.05882837040608337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0.05980354479927379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232770212465"/>
          <min val="0.0350367154947059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'GRAFIK_VERILERI'!$B$2:$B$34</f>
              <numCache>
                <formatCode>0.00%</formatCode>
                <ptCount val="3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4184584259069"/>
          <min val="0.0251325638605234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'GRAFIK_VERILERI'!$G$2:$G$34</f>
              <numCache>
                <formatCode>0.00%</formatCode>
                <ptCount val="3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4763720469246"/>
          <min val="0.0251372685326609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'GRAFIK_VERILERI'!$L$2:$L$34</f>
              <numCache>
                <formatCode>0.00%</formatCode>
                <ptCount val="3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8521567410732"/>
          <min val="0.0300033010673845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'GRAFIK_VERILERI'!$C$2:$C$34</f>
              <numCache>
                <formatCode>0.00%</formatCode>
                <ptCount val="3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9324227498623"/>
          <min val="0.0220580966634047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'GRAFIK_VERILERI'!$H$2:$H$34</f>
              <numCache>
                <formatCode>0.00%</formatCode>
                <ptCount val="3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2258897358096"/>
          <min val="0.022002736997387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'GRAFIK_VERILERI'!$M$2:$M$34</f>
              <numCache>
                <formatCode>0.00%</formatCode>
                <ptCount val="3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3877920574542"/>
          <min val="0.0256843641882915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'GRAFIK_VERILERI'!$D$2:$D$34</f>
              <numCache>
                <formatCode>0.00%</formatCode>
                <ptCount val="3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'GRAFIK_VERILERI'!$I$2:$I$34</f>
              <numCache>
                <formatCode>0.00%</formatCode>
                <ptCount val="3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'GRAFIK_VERILERI'!$N$2:$N$34</f>
              <numCache>
                <formatCode>0.00%</formatCode>
                <ptCount val="3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'GRAFIK_VERILERI'!$E$2:$E$34</f>
              <numCache>
                <formatCode>0.00%</formatCode>
                <ptCount val="3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'GRAFIK_VERILERI'!$J$2:$J$34</f>
              <numCache>
                <formatCode>0.00%</formatCode>
                <ptCount val="3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'GRAFIK_VERILERI'!$O$2:$O$34</f>
              <numCache>
                <formatCode>0.00%</formatCode>
                <ptCount val="3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'GRAFIK_VERILERI'!$F$2:$F$34</f>
              <numCache>
                <formatCode>0.00%</formatCode>
                <ptCount val="3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'GRAFIK_VERILERI'!$K$2:$K$34</f>
              <numCache>
                <formatCode>0.00%</formatCode>
                <ptCount val="3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'GRAFIK_VERILERI'!$A$2:$A$34</f>
              <strCache>
                <ptCount val="3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</strCache>
            </strRef>
          </cat>
          <val>
            <numRef>
              <f>'GRAFIK_VERILERI'!$P$2:$P$34</f>
              <numCache>
                <formatCode>0.00%</formatCode>
                <ptCount val="3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556" headerRowCount="1">
  <autoFilter ref="A1:N3556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table" Target="/xl/tables/table2.xml" Id="rId355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46294</v>
      </c>
      <c r="B2" s="6" t="n">
        <v>0.4225810185185185</v>
      </c>
      <c r="C2" s="7" t="inlineStr">
        <is>
          <t>Akbank</t>
        </is>
      </c>
      <c r="D2" s="8" t="n">
        <v>48.204</v>
      </c>
      <c r="E2" s="8" t="n">
        <v>49.554</v>
      </c>
      <c r="F2" s="8" t="n">
        <v>1.35</v>
      </c>
      <c r="G2" s="9" t="n">
        <v>0.02800597460791636</v>
      </c>
      <c r="H2" s="10" t="n">
        <v>54.7641</v>
      </c>
      <c r="I2" s="10" t="n">
        <v>56.2978</v>
      </c>
      <c r="J2" s="10" t="n">
        <v>1.5337</v>
      </c>
      <c r="K2" s="11" t="n">
        <v>0.02800557299398694</v>
      </c>
      <c r="L2" s="12" t="n">
        <v>6356.46</v>
      </c>
      <c r="M2" s="12" t="n">
        <v>6582.7</v>
      </c>
      <c r="N2" s="12" t="n">
        <v>226.24</v>
      </c>
      <c r="O2" s="13" t="n">
        <v>0.03559213776221356</v>
      </c>
    </row>
    <row r="3">
      <c r="A3" s="5" t="n">
        <v>46294</v>
      </c>
      <c r="B3" s="6" t="n">
        <v>0.4225810185185185</v>
      </c>
      <c r="C3" s="14" t="inlineStr">
        <is>
          <t>Albaraka Türk</t>
        </is>
      </c>
      <c r="D3" s="8" t="n">
        <v>48.629</v>
      </c>
      <c r="E3" s="8" t="n">
        <v>49.35</v>
      </c>
      <c r="F3" s="8" t="n">
        <v>0.721</v>
      </c>
      <c r="G3" s="9" t="n">
        <v>0.01482654383186987</v>
      </c>
      <c r="H3" s="10" t="n">
        <v>55.242</v>
      </c>
      <c r="I3" s="10" t="n">
        <v>56.072</v>
      </c>
      <c r="J3" s="10" t="n">
        <v>0.83</v>
      </c>
      <c r="K3" s="11" t="n">
        <v>0.01502479997103653</v>
      </c>
      <c r="L3" s="12" t="n">
        <v>6433.73</v>
      </c>
      <c r="M3" s="12" t="n">
        <v>6556.56</v>
      </c>
      <c r="N3" s="12" t="n">
        <v>122.83</v>
      </c>
      <c r="O3" s="13" t="n">
        <v>0.01909156896543685</v>
      </c>
    </row>
    <row r="4">
      <c r="A4" s="5" t="n">
        <v>46294</v>
      </c>
      <c r="B4" s="6" t="n">
        <v>0.4225810185185185</v>
      </c>
      <c r="C4" s="15" t="inlineStr">
        <is>
          <t>Alternatif Bank</t>
        </is>
      </c>
      <c r="D4" s="8" t="n">
        <v>48.782</v>
      </c>
      <c r="E4" s="8" t="n">
        <v>49.077</v>
      </c>
      <c r="F4" s="8" t="n">
        <v>0.295</v>
      </c>
      <c r="G4" s="9" t="n">
        <v>0.006047312533311467</v>
      </c>
      <c r="H4" s="10" t="n">
        <v>55.253</v>
      </c>
      <c r="I4" s="10" t="n">
        <v>55.762</v>
      </c>
      <c r="J4" s="10" t="n">
        <v>0.509</v>
      </c>
      <c r="K4" s="11" t="n">
        <v>0.009212169474960636</v>
      </c>
      <c r="L4" s="12" t="n">
        <v>6486.83</v>
      </c>
      <c r="M4" s="12" t="n">
        <v>6552.03</v>
      </c>
      <c r="N4" s="12" t="n">
        <v>65.2</v>
      </c>
      <c r="O4" s="13" t="n">
        <v>0.01005113437534204</v>
      </c>
    </row>
    <row r="5">
      <c r="A5" s="5" t="n">
        <v>46294</v>
      </c>
      <c r="B5" s="6" t="n">
        <v>0.4225810185185185</v>
      </c>
      <c r="C5" s="16" t="inlineStr">
        <is>
          <t>Altınkaynak</t>
        </is>
      </c>
      <c r="D5" s="8" t="n">
        <v>48.92</v>
      </c>
      <c r="E5" s="8" t="n">
        <v>49.131</v>
      </c>
      <c r="F5" s="8" t="n">
        <v>0.211</v>
      </c>
      <c r="G5" s="9" t="n">
        <v>0.004313164349959117</v>
      </c>
      <c r="H5" s="10" t="n">
        <v>55.474</v>
      </c>
      <c r="I5" s="10" t="n">
        <v>55.824</v>
      </c>
      <c r="J5" s="10" t="n">
        <v>0.35</v>
      </c>
      <c r="K5" s="11" t="n">
        <v>0.006309261996611026</v>
      </c>
      <c r="L5" s="12" t="n">
        <v>6489.4</v>
      </c>
      <c r="M5" s="12" t="n">
        <v>6640</v>
      </c>
      <c r="N5" s="12" t="n">
        <v>150.6</v>
      </c>
      <c r="O5" s="13" t="n">
        <v>0.0232070761549604</v>
      </c>
    </row>
    <row r="6">
      <c r="A6" s="5" t="n">
        <v>46294</v>
      </c>
      <c r="B6" s="6" t="n">
        <v>0.4225810185185185</v>
      </c>
      <c r="C6" s="17" t="inlineStr">
        <is>
          <t>Anadolubank</t>
        </is>
      </c>
      <c r="D6" s="8" t="n">
        <v>48.1549</v>
      </c>
      <c r="E6" s="8" t="n">
        <v>49.4321</v>
      </c>
      <c r="F6" s="8" t="n">
        <v>1.2772</v>
      </c>
      <c r="G6" s="9" t="n">
        <v>0.02652274223391596</v>
      </c>
      <c r="H6" s="10" t="n">
        <v>54.7975</v>
      </c>
      <c r="I6" s="10" t="n">
        <v>56.164</v>
      </c>
      <c r="J6" s="10" t="n">
        <v>1.3665</v>
      </c>
      <c r="K6" s="11" t="n">
        <v>0.02493726903599617</v>
      </c>
      <c r="L6" s="12" t="n">
        <v>6411.39</v>
      </c>
      <c r="M6" s="12" t="n">
        <v>6562.19</v>
      </c>
      <c r="N6" s="12" t="n">
        <v>150.8</v>
      </c>
      <c r="O6" s="13" t="n">
        <v>0.02352064060991454</v>
      </c>
    </row>
    <row r="7">
      <c r="A7" s="5" t="n">
        <v>46294</v>
      </c>
      <c r="B7" s="6" t="n">
        <v>0.4225810185185185</v>
      </c>
      <c r="C7" s="18" t="inlineStr">
        <is>
          <t>CEPTETEB</t>
        </is>
      </c>
      <c r="D7" s="8" t="n">
        <v>47.99</v>
      </c>
      <c r="E7" s="8" t="n">
        <v>49.94</v>
      </c>
      <c r="F7" s="8" t="n">
        <v>1.95</v>
      </c>
      <c r="G7" s="9" t="n">
        <v>0.04063346530527193</v>
      </c>
      <c r="H7" s="10" t="n">
        <v>54.522</v>
      </c>
      <c r="I7" s="10" t="n">
        <v>56.742</v>
      </c>
      <c r="J7" s="10" t="n">
        <v>2.22</v>
      </c>
      <c r="K7" s="11" t="n">
        <v>0.04071750852866732</v>
      </c>
      <c r="L7" s="12" t="n">
        <v>6407.96</v>
      </c>
      <c r="M7" s="12" t="n">
        <v>6604.35</v>
      </c>
      <c r="N7" s="12" t="n">
        <v>196.39</v>
      </c>
      <c r="O7" s="13" t="n">
        <v>0.030647819274777</v>
      </c>
    </row>
    <row r="8">
      <c r="A8" s="5" t="n">
        <v>46294</v>
      </c>
      <c r="B8" s="6" t="n">
        <v>0.4225810185185185</v>
      </c>
      <c r="C8" s="19" t="inlineStr">
        <is>
          <t>Denizbank</t>
        </is>
      </c>
      <c r="D8" s="8" t="n">
        <v>48.2567</v>
      </c>
      <c r="E8" s="8" t="n">
        <v>49.6568</v>
      </c>
      <c r="F8" s="8" t="n">
        <v>1.4001</v>
      </c>
      <c r="G8" s="9" t="n">
        <v>0.02901358775050926</v>
      </c>
      <c r="H8" s="10" t="n">
        <v>54.824</v>
      </c>
      <c r="I8" s="10" t="n">
        <v>56.4146</v>
      </c>
      <c r="J8" s="10" t="n">
        <v>1.5906</v>
      </c>
      <c r="K8" s="11" t="n">
        <v>0.02901284109149278</v>
      </c>
      <c r="L8" s="12" t="n">
        <v>6426.86</v>
      </c>
      <c r="M8" s="12" t="n">
        <v>6614.3</v>
      </c>
      <c r="N8" s="12" t="n">
        <v>187.44</v>
      </c>
      <c r="O8" s="13" t="n">
        <v>0.02916509773046247</v>
      </c>
    </row>
    <row r="9">
      <c r="A9" s="5" t="n">
        <v>46294</v>
      </c>
      <c r="B9" s="6" t="n">
        <v>0.4225810185185185</v>
      </c>
      <c r="C9" s="20" t="inlineStr">
        <is>
          <t>DestekBank</t>
        </is>
      </c>
      <c r="D9" s="8" t="n">
        <v>48.8874</v>
      </c>
      <c r="E9" s="8" t="n">
        <v>49.0228</v>
      </c>
      <c r="F9" s="8" t="n">
        <v>0.1354</v>
      </c>
      <c r="G9" s="9" t="n">
        <v>0.002769629802362163</v>
      </c>
      <c r="H9" s="10" t="n">
        <v>55.5271</v>
      </c>
      <c r="I9" s="10" t="n">
        <v>55.7037</v>
      </c>
      <c r="J9" s="10" t="n">
        <v>0.1766</v>
      </c>
      <c r="K9" s="11" t="n">
        <v>0.003180429015741863</v>
      </c>
      <c r="L9" s="12" t="n">
        <v>6453.15</v>
      </c>
      <c r="M9" s="12" t="n">
        <v>6523.26</v>
      </c>
      <c r="N9" s="12" t="n">
        <v>70.11</v>
      </c>
      <c r="O9" s="13" t="n">
        <v>0.01086446154203761</v>
      </c>
    </row>
    <row r="10">
      <c r="A10" s="5" t="n">
        <v>46294</v>
      </c>
      <c r="B10" s="6" t="n">
        <v>0.4225810185185185</v>
      </c>
      <c r="C10" s="21" t="inlineStr">
        <is>
          <t>Dünya Katılım</t>
        </is>
      </c>
      <c r="D10" s="8" t="n">
        <v>48.9104</v>
      </c>
      <c r="E10" s="8" t="n">
        <v>49.0017</v>
      </c>
      <c r="F10" s="8" t="n">
        <v>0.09130000000000001</v>
      </c>
      <c r="G10" s="9" t="n">
        <v>0.001866678661388989</v>
      </c>
      <c r="H10" s="10" t="n">
        <v>55.5016</v>
      </c>
      <c r="I10" s="10" t="n">
        <v>55.6996</v>
      </c>
      <c r="J10" s="10" t="n">
        <v>0.198</v>
      </c>
      <c r="K10" s="11" t="n">
        <v>0.003567464721737752</v>
      </c>
      <c r="L10" s="12" t="n">
        <v>6472.21</v>
      </c>
      <c r="M10" s="12" t="n">
        <v>6506.24</v>
      </c>
      <c r="N10" s="12" t="n">
        <v>34.03</v>
      </c>
      <c r="O10" s="13" t="n">
        <v>0.005257864006266793</v>
      </c>
    </row>
    <row r="11">
      <c r="A11" s="5" t="n">
        <v>46294</v>
      </c>
      <c r="B11" s="6" t="n">
        <v>0.4225810185185185</v>
      </c>
      <c r="C11" s="22" t="inlineStr">
        <is>
          <t>Emlak Katılım</t>
        </is>
      </c>
      <c r="D11" s="8" t="n">
        <v>48.6226</v>
      </c>
      <c r="E11" s="8" t="n">
        <v>49.8779</v>
      </c>
      <c r="F11" s="8" t="n">
        <v>1.2553</v>
      </c>
      <c r="G11" s="9" t="n">
        <v>0.02581721257193157</v>
      </c>
      <c r="H11" s="10" t="n">
        <v>55.1422</v>
      </c>
      <c r="I11" s="10" t="n">
        <v>56.4166</v>
      </c>
      <c r="J11" s="10" t="n">
        <v>1.2744</v>
      </c>
      <c r="K11" s="11" t="n">
        <v>0.02311115624693973</v>
      </c>
      <c r="L11" s="12" t="n">
        <v>6430.76</v>
      </c>
      <c r="M11" s="12" t="n">
        <v>6535.62</v>
      </c>
      <c r="N11" s="12" t="n">
        <v>104.86</v>
      </c>
      <c r="O11" s="13" t="n">
        <v>0.01630600426699177</v>
      </c>
    </row>
    <row r="12">
      <c r="A12" s="5" t="n">
        <v>46294</v>
      </c>
      <c r="B12" s="6" t="n">
        <v>0.4225810185185185</v>
      </c>
      <c r="C12" s="23" t="inlineStr">
        <is>
          <t>Enpara</t>
        </is>
      </c>
      <c r="D12" s="8" t="n">
        <v>48.55</v>
      </c>
      <c r="E12" s="8" t="n">
        <v>49.45</v>
      </c>
      <c r="F12" s="8" t="n">
        <v>0.9</v>
      </c>
      <c r="G12" s="9" t="n">
        <v>0.01853759011328527</v>
      </c>
      <c r="H12" s="10" t="n">
        <v>55.1025</v>
      </c>
      <c r="I12" s="10" t="n">
        <v>56.2413</v>
      </c>
      <c r="J12" s="10" t="n">
        <v>1.1388</v>
      </c>
      <c r="K12" s="11" t="n">
        <v>0.02066693888662039</v>
      </c>
      <c r="L12" s="12" t="n">
        <v>6429.62</v>
      </c>
      <c r="M12" s="12" t="n">
        <v>6570.65</v>
      </c>
      <c r="N12" s="12" t="n">
        <v>141.03</v>
      </c>
      <c r="O12" s="13" t="n">
        <v>0.0219344222520149</v>
      </c>
    </row>
    <row r="13">
      <c r="A13" s="5" t="n">
        <v>46294</v>
      </c>
      <c r="B13" s="6" t="n">
        <v>0.4225810185185185</v>
      </c>
      <c r="C13" s="24" t="inlineStr">
        <is>
          <t>Fibabanka</t>
        </is>
      </c>
      <c r="D13" s="8" t="n">
        <v>48.7005</v>
      </c>
      <c r="E13" s="8" t="n">
        <v>49.3079</v>
      </c>
      <c r="F13" s="8" t="n">
        <v>0.6074000000000001</v>
      </c>
      <c r="G13" s="9" t="n">
        <v>0.01247215120994651</v>
      </c>
      <c r="H13" s="10" t="n">
        <v>55.3389</v>
      </c>
      <c r="I13" s="10" t="n">
        <v>55.9993</v>
      </c>
      <c r="J13" s="10" t="n">
        <v>0.6604</v>
      </c>
      <c r="K13" s="11" t="n">
        <v>0.01193373919611702</v>
      </c>
      <c r="L13" s="12" t="n">
        <v>6494.85</v>
      </c>
      <c r="M13" s="12" t="n">
        <v>6549.09</v>
      </c>
      <c r="N13" s="12" t="n">
        <v>54.24</v>
      </c>
      <c r="O13" s="13" t="n">
        <v>0.008351232130072288</v>
      </c>
    </row>
    <row r="14">
      <c r="A14" s="5" t="n">
        <v>46294</v>
      </c>
      <c r="B14" s="6" t="n">
        <v>0.4225810185185185</v>
      </c>
      <c r="C14" s="25" t="inlineStr">
        <is>
          <t>Garanti BBVA</t>
        </is>
      </c>
      <c r="D14" s="8" t="n">
        <v>48.156</v>
      </c>
      <c r="E14" s="8" t="n">
        <v>49.506</v>
      </c>
      <c r="F14" s="8" t="n">
        <v>1.35</v>
      </c>
      <c r="G14" s="9" t="n">
        <v>0.02803388985796162</v>
      </c>
      <c r="H14" s="10" t="n">
        <v>54.71</v>
      </c>
      <c r="I14" s="10" t="n">
        <v>56.244</v>
      </c>
      <c r="J14" s="10" t="n">
        <v>1.534</v>
      </c>
      <c r="K14" s="11" t="n">
        <v>0.02803874977152257</v>
      </c>
      <c r="L14" s="12" t="n">
        <v>6406.71</v>
      </c>
      <c r="M14" s="12" t="n">
        <v>6642.39</v>
      </c>
      <c r="N14" s="12" t="n">
        <v>235.68</v>
      </c>
      <c r="O14" s="13" t="n">
        <v>0.03678643172548781</v>
      </c>
    </row>
    <row r="15">
      <c r="A15" s="5" t="n">
        <v>46294</v>
      </c>
      <c r="B15" s="6" t="n">
        <v>0.4225810185185185</v>
      </c>
      <c r="C15" s="26" t="inlineStr">
        <is>
          <t>Getirfinans</t>
        </is>
      </c>
      <c r="D15" s="8" t="n">
        <v>48.7006</v>
      </c>
      <c r="E15" s="8" t="n">
        <v>49.3081</v>
      </c>
      <c r="F15" s="8" t="n">
        <v>0.6075</v>
      </c>
      <c r="G15" s="9" t="n">
        <v>0.01247417896288752</v>
      </c>
      <c r="H15" s="10" t="n">
        <v>55.3394</v>
      </c>
      <c r="I15" s="10" t="n">
        <v>56.0002</v>
      </c>
      <c r="J15" s="10" t="n">
        <v>0.6608000000000001</v>
      </c>
      <c r="K15" s="11" t="n">
        <v>0.01194085949612753</v>
      </c>
      <c r="L15" s="12" t="n">
        <v>6495.05</v>
      </c>
      <c r="M15" s="12" t="n">
        <v>6549.31</v>
      </c>
      <c r="N15" s="12" t="n">
        <v>54.26</v>
      </c>
      <c r="O15" s="13" t="n">
        <v>0.00835405424130684</v>
      </c>
    </row>
    <row r="16">
      <c r="A16" s="5" t="n">
        <v>46294</v>
      </c>
      <c r="B16" s="6" t="n">
        <v>0.4225810185185185</v>
      </c>
      <c r="C16" s="27" t="inlineStr">
        <is>
          <t>Halkbank</t>
        </is>
      </c>
      <c r="D16" s="8" t="n">
        <v>48.57</v>
      </c>
      <c r="E16" s="8" t="n">
        <v>49.55</v>
      </c>
      <c r="F16" s="8" t="n">
        <v>0.98</v>
      </c>
      <c r="G16" s="9" t="n">
        <v>0.02017706403129504</v>
      </c>
      <c r="H16" s="10" t="n">
        <v>55.1779</v>
      </c>
      <c r="I16" s="10" t="n">
        <v>56.2913</v>
      </c>
      <c r="J16" s="10" t="n">
        <v>1.1134</v>
      </c>
      <c r="K16" s="11" t="n">
        <v>0.02017836851348094</v>
      </c>
      <c r="L16" s="12" t="n">
        <v>6427.4</v>
      </c>
      <c r="M16" s="12" t="n">
        <v>6623.55</v>
      </c>
      <c r="N16" s="12" t="n">
        <v>196.15</v>
      </c>
      <c r="O16" s="13" t="n">
        <v>0.0305177832405016</v>
      </c>
    </row>
    <row r="17">
      <c r="A17" s="5" t="n">
        <v>46294</v>
      </c>
      <c r="B17" s="6" t="n">
        <v>0.4225810185185185</v>
      </c>
      <c r="C17" s="28" t="inlineStr">
        <is>
          <t>Harem</t>
        </is>
      </c>
      <c r="D17" s="8" t="n">
        <v>48.959</v>
      </c>
      <c r="E17" s="8" t="n">
        <v>49.026</v>
      </c>
      <c r="F17" s="8" t="n">
        <v>0.067</v>
      </c>
      <c r="G17" s="9" t="n">
        <v>0.001368492003513144</v>
      </c>
      <c r="H17" s="10" t="n">
        <v>55.533</v>
      </c>
      <c r="I17" s="10" t="n">
        <v>55.68</v>
      </c>
      <c r="J17" s="10" t="n">
        <v>0.147</v>
      </c>
      <c r="K17" s="11" t="n">
        <v>0.002647074712333207</v>
      </c>
      <c r="L17" s="12" t="n">
        <v>6492.69</v>
      </c>
      <c r="M17" s="12" t="n">
        <v>6573.43</v>
      </c>
      <c r="N17" s="12" t="n">
        <v>80.73999999999999</v>
      </c>
      <c r="O17" s="13" t="n">
        <v>0.01243552364274284</v>
      </c>
    </row>
    <row r="18">
      <c r="A18" s="5" t="n">
        <v>46294</v>
      </c>
      <c r="B18" s="6" t="n">
        <v>0.4225810185185185</v>
      </c>
      <c r="C18" s="29" t="inlineStr">
        <is>
          <t>Hayat Finans</t>
        </is>
      </c>
      <c r="D18" s="8" t="n">
        <v>48.9195</v>
      </c>
      <c r="E18" s="8" t="n">
        <v>49.0685</v>
      </c>
      <c r="F18" s="8" t="n">
        <v>0.149</v>
      </c>
      <c r="G18" s="9" t="n">
        <v>0.00304582017395926</v>
      </c>
      <c r="H18" s="10" t="n">
        <v>55.5689</v>
      </c>
      <c r="I18" s="10" t="n">
        <v>55.7401</v>
      </c>
      <c r="J18" s="10" t="n">
        <v>0.1712</v>
      </c>
      <c r="K18" s="11" t="n">
        <v>0.003080859977433421</v>
      </c>
      <c r="L18" s="12" t="n">
        <v>6484.57</v>
      </c>
      <c r="M18" s="12" t="n">
        <v>6530.7</v>
      </c>
      <c r="N18" s="12" t="n">
        <v>46.13</v>
      </c>
      <c r="O18" s="13" t="n">
        <v>0.00711381016782917</v>
      </c>
    </row>
    <row r="19">
      <c r="A19" s="5" t="n">
        <v>46294</v>
      </c>
      <c r="B19" s="6" t="n">
        <v>0.4225810185185185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6495.04</v>
      </c>
      <c r="M19" s="12" t="n">
        <v>6685.74</v>
      </c>
      <c r="N19" s="12" t="n">
        <v>190.7</v>
      </c>
      <c r="O19" s="13" t="n">
        <v>0.02936086613785288</v>
      </c>
    </row>
    <row r="20">
      <c r="A20" s="5" t="n">
        <v>46294</v>
      </c>
      <c r="B20" s="6" t="n">
        <v>0.4225810185185185</v>
      </c>
      <c r="C20" s="31" t="inlineStr">
        <is>
          <t>HSBC</t>
        </is>
      </c>
      <c r="D20" s="8" t="n">
        <v>48.5067</v>
      </c>
      <c r="E20" s="8" t="n">
        <v>49.3934</v>
      </c>
      <c r="F20" s="8" t="n">
        <v>0.8867</v>
      </c>
      <c r="G20" s="9" t="n">
        <v>0.01827994895550512</v>
      </c>
      <c r="H20" s="10" t="n">
        <v>55.1082</v>
      </c>
      <c r="I20" s="10" t="n">
        <v>56.1632</v>
      </c>
      <c r="J20" s="10" t="n">
        <v>1.055</v>
      </c>
      <c r="K20" s="11" t="n">
        <v>0.01914415640503591</v>
      </c>
      <c r="L20" s="12" t="n">
        <v>6427.24</v>
      </c>
      <c r="M20" s="12" t="n">
        <v>6873.15</v>
      </c>
      <c r="N20" s="12" t="n">
        <v>445.91</v>
      </c>
      <c r="O20" s="13" t="n">
        <v>0.06937814676284065</v>
      </c>
    </row>
    <row r="21">
      <c r="A21" s="5" t="n">
        <v>46294</v>
      </c>
      <c r="B21" s="6" t="n">
        <v>0.4225810185185185</v>
      </c>
      <c r="C21" s="32" t="inlineStr">
        <is>
          <t>ING Bank</t>
        </is>
      </c>
      <c r="D21" s="8" t="n">
        <v>48.454</v>
      </c>
      <c r="E21" s="8" t="n">
        <v>49.4577</v>
      </c>
      <c r="F21" s="8" t="n">
        <v>1.0037</v>
      </c>
      <c r="G21" s="9" t="n">
        <v>0.02071449209559582</v>
      </c>
      <c r="H21" s="10" t="n">
        <v>55.1122</v>
      </c>
      <c r="I21" s="10" t="n">
        <v>56.1217</v>
      </c>
      <c r="J21" s="10" t="n">
        <v>1.0095</v>
      </c>
      <c r="K21" s="11" t="n">
        <v>0.01831717841058786</v>
      </c>
      <c r="L21" s="12" t="n">
        <v>6392.98</v>
      </c>
      <c r="M21" s="12" t="n">
        <v>6644.98</v>
      </c>
      <c r="N21" s="12" t="n">
        <v>252</v>
      </c>
      <c r="O21" s="13" t="n">
        <v>0.03941823687857619</v>
      </c>
    </row>
    <row r="22">
      <c r="A22" s="5" t="n">
        <v>46294</v>
      </c>
      <c r="B22" s="6" t="n">
        <v>0.4225810185185185</v>
      </c>
      <c r="C22" s="33" t="inlineStr">
        <is>
          <t>İş Bankası</t>
        </is>
      </c>
      <c r="D22" s="8" t="n">
        <v>48.3719</v>
      </c>
      <c r="E22" s="8" t="n">
        <v>49.5456</v>
      </c>
      <c r="F22" s="8" t="n">
        <v>1.1737</v>
      </c>
      <c r="G22" s="9" t="n">
        <v>0.02426408720765568</v>
      </c>
      <c r="H22" s="10" t="n">
        <v>54.9553</v>
      </c>
      <c r="I22" s="10" t="n">
        <v>56.2937</v>
      </c>
      <c r="J22" s="10" t="n">
        <v>1.3384</v>
      </c>
      <c r="K22" s="11" t="n">
        <v>0.02435433888997058</v>
      </c>
      <c r="L22" s="12" t="n">
        <v>6420.4</v>
      </c>
      <c r="M22" s="12" t="n">
        <v>6596.7</v>
      </c>
      <c r="N22" s="12" t="n">
        <v>176.3</v>
      </c>
      <c r="O22" s="13" t="n">
        <v>0.02745934832720703</v>
      </c>
    </row>
    <row r="23">
      <c r="A23" s="5" t="n">
        <v>46294</v>
      </c>
      <c r="B23" s="6" t="n">
        <v>0.4225810185185185</v>
      </c>
      <c r="C23" s="34" t="inlineStr">
        <is>
          <t>Kapalıçarşı</t>
        </is>
      </c>
      <c r="D23" s="8" t="n">
        <v>48.98</v>
      </c>
      <c r="E23" s="8" t="n">
        <v>49</v>
      </c>
      <c r="F23" s="8" t="n">
        <v>0.02</v>
      </c>
      <c r="G23" s="9" t="n">
        <v>0.0004083299305839118</v>
      </c>
      <c r="H23" s="10" t="n">
        <v>55.6</v>
      </c>
      <c r="I23" s="10" t="n">
        <v>55.65</v>
      </c>
      <c r="J23" s="10" t="n">
        <v>0.05</v>
      </c>
      <c r="K23" s="11" t="n">
        <v>0.0008992805755395683</v>
      </c>
      <c r="L23" s="12" t="n">
        <v>6554.46</v>
      </c>
      <c r="M23" s="12" t="n">
        <v>6562.06</v>
      </c>
      <c r="N23" s="12" t="n">
        <v>7.6</v>
      </c>
      <c r="O23" s="13" t="n">
        <v>0.001159515810608349</v>
      </c>
    </row>
    <row r="24">
      <c r="A24" s="5" t="n">
        <v>46294</v>
      </c>
      <c r="B24" s="6" t="n">
        <v>0.4225810185185185</v>
      </c>
      <c r="C24" s="35" t="inlineStr">
        <is>
          <t>Kuveyt Türk</t>
        </is>
      </c>
      <c r="D24" s="8" t="n">
        <v>48.319</v>
      </c>
      <c r="E24" s="8" t="n">
        <v>49.3001</v>
      </c>
      <c r="F24" s="8" t="n">
        <v>0.9811</v>
      </c>
      <c r="G24" s="9" t="n">
        <v>0.02030464206626793</v>
      </c>
      <c r="H24" s="10" t="n">
        <v>54.8923</v>
      </c>
      <c r="I24" s="10" t="n">
        <v>56.0242</v>
      </c>
      <c r="J24" s="10" t="n">
        <v>1.1319</v>
      </c>
      <c r="K24" s="11" t="n">
        <v>0.02062037845016514</v>
      </c>
      <c r="L24" s="12" t="n">
        <v>6430.44</v>
      </c>
      <c r="M24" s="12" t="n">
        <v>6599.68</v>
      </c>
      <c r="N24" s="12" t="n">
        <v>169.24</v>
      </c>
      <c r="O24" s="13" t="n">
        <v>0.0263185722905431</v>
      </c>
    </row>
    <row r="25">
      <c r="A25" s="5" t="n">
        <v>46294</v>
      </c>
      <c r="B25" s="6" t="n">
        <v>0.4225810185185185</v>
      </c>
      <c r="C25" s="36" t="inlineStr">
        <is>
          <t>Merkez Bankası</t>
        </is>
      </c>
      <c r="D25" s="8" t="n">
        <v>48.9008</v>
      </c>
      <c r="E25" s="8" t="n">
        <v>48.9889</v>
      </c>
      <c r="F25" s="8" t="n">
        <v>0.0881</v>
      </c>
      <c r="G25" s="9" t="n">
        <v>0.001801606517684782</v>
      </c>
      <c r="H25" s="10" t="n">
        <v>55.6307</v>
      </c>
      <c r="I25" s="10" t="n">
        <v>55.731</v>
      </c>
      <c r="J25" s="10" t="n">
        <v>0.1003</v>
      </c>
      <c r="K25" s="11" t="n">
        <v>0.001802961314525972</v>
      </c>
      <c r="L25" s="12" t="n"/>
      <c r="M25" s="12" t="n"/>
      <c r="N25" s="12" t="n"/>
      <c r="O25" s="13" t="n"/>
    </row>
    <row r="26">
      <c r="A26" s="5" t="n">
        <v>46294</v>
      </c>
      <c r="B26" s="6" t="n">
        <v>0.4225810185185185</v>
      </c>
      <c r="C26" s="37" t="inlineStr">
        <is>
          <t>Misyon Bank</t>
        </is>
      </c>
      <c r="D26" s="8" t="n">
        <v>48.9285</v>
      </c>
      <c r="E26" s="8" t="n">
        <v>48.9819</v>
      </c>
      <c r="F26" s="8" t="n">
        <v>0.0534</v>
      </c>
      <c r="G26" s="9" t="n">
        <v>0.001091388454581686</v>
      </c>
      <c r="H26" s="10" t="n">
        <v>55.5744</v>
      </c>
      <c r="I26" s="10" t="n">
        <v>55.6548</v>
      </c>
      <c r="J26" s="10" t="n">
        <v>0.0804</v>
      </c>
      <c r="K26" s="11" t="n">
        <v>0.001446709276213508</v>
      </c>
      <c r="L26" s="12" t="n">
        <v>6474.81</v>
      </c>
      <c r="M26" s="12" t="n">
        <v>6503.74</v>
      </c>
      <c r="N26" s="12" t="n">
        <v>28.93</v>
      </c>
      <c r="O26" s="13" t="n">
        <v>0.004468084777777263</v>
      </c>
    </row>
    <row r="27">
      <c r="A27" s="5" t="n">
        <v>46294</v>
      </c>
      <c r="B27" s="6" t="n">
        <v>0.4225810185185185</v>
      </c>
      <c r="C27" s="38" t="inlineStr">
        <is>
          <t>Odacı</t>
        </is>
      </c>
      <c r="D27" s="8" t="n">
        <v>48.949</v>
      </c>
      <c r="E27" s="8" t="n">
        <v>49.139</v>
      </c>
      <c r="F27" s="8" t="n">
        <v>0.19</v>
      </c>
      <c r="G27" s="9" t="n">
        <v>0.003881591043739402</v>
      </c>
      <c r="H27" s="10" t="n">
        <v>55.52</v>
      </c>
      <c r="I27" s="10" t="n">
        <v>55.731</v>
      </c>
      <c r="J27" s="10" t="n">
        <v>0.211</v>
      </c>
      <c r="K27" s="11" t="n">
        <v>0.00380043227665706</v>
      </c>
      <c r="L27" s="12" t="n">
        <v>6514</v>
      </c>
      <c r="M27" s="12" t="n">
        <v>6567</v>
      </c>
      <c r="N27" s="12" t="n">
        <v>53</v>
      </c>
      <c r="O27" s="13" t="n">
        <v>0.008136321768498619</v>
      </c>
    </row>
    <row r="28">
      <c r="A28" s="5" t="n">
        <v>46294</v>
      </c>
      <c r="B28" s="6" t="n">
        <v>0.4225810185185185</v>
      </c>
      <c r="C28" s="39" t="inlineStr">
        <is>
          <t>Odeabank</t>
        </is>
      </c>
      <c r="D28" s="8" t="n">
        <v>48.4655</v>
      </c>
      <c r="E28" s="8" t="n">
        <v>49.4655</v>
      </c>
      <c r="F28" s="8" t="n">
        <v>1</v>
      </c>
      <c r="G28" s="9" t="n">
        <v>0.02063323394992314</v>
      </c>
      <c r="H28" s="10" t="n">
        <v>55.081</v>
      </c>
      <c r="I28" s="10" t="n">
        <v>56.171</v>
      </c>
      <c r="J28" s="10" t="n">
        <v>1.09</v>
      </c>
      <c r="K28" s="11" t="n">
        <v>0.01978903796227374</v>
      </c>
      <c r="L28" s="12" t="n">
        <v>6467.43</v>
      </c>
      <c r="M28" s="12" t="n">
        <v>6567.43</v>
      </c>
      <c r="N28" s="12" t="n">
        <v>100</v>
      </c>
      <c r="O28" s="13" t="n">
        <v>0.01546209236126251</v>
      </c>
    </row>
    <row r="29">
      <c r="A29" s="5" t="n">
        <v>46294</v>
      </c>
      <c r="B29" s="6" t="n">
        <v>0.4225810185185185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6494.3</v>
      </c>
      <c r="M29" s="12" t="n">
        <v>6671.64</v>
      </c>
      <c r="N29" s="12" t="n">
        <v>177.34</v>
      </c>
      <c r="O29" s="13" t="n">
        <v>0.02730702308177941</v>
      </c>
    </row>
    <row r="30">
      <c r="A30" s="5" t="n">
        <v>46294</v>
      </c>
      <c r="B30" s="6" t="n">
        <v>0.4225810185185185</v>
      </c>
      <c r="C30" s="41" t="inlineStr">
        <is>
          <t>QNB Finansbank</t>
        </is>
      </c>
      <c r="D30" s="8" t="n">
        <v>48.24</v>
      </c>
      <c r="E30" s="8" t="n">
        <v>49.76</v>
      </c>
      <c r="F30" s="8" t="n">
        <v>1.52</v>
      </c>
      <c r="G30" s="9" t="n">
        <v>0.03150912106135986</v>
      </c>
      <c r="H30" s="10" t="n">
        <v>54.6904</v>
      </c>
      <c r="I30" s="10" t="n">
        <v>56.656</v>
      </c>
      <c r="J30" s="10" t="n">
        <v>1.9656</v>
      </c>
      <c r="K30" s="11" t="n">
        <v>0.03594049412694001</v>
      </c>
      <c r="L30" s="12" t="n">
        <v>6381.66</v>
      </c>
      <c r="M30" s="12" t="n">
        <v>6611.72</v>
      </c>
      <c r="N30" s="12" t="n">
        <v>230.06</v>
      </c>
      <c r="O30" s="13" t="n">
        <v>0.03605018130079008</v>
      </c>
    </row>
    <row r="31">
      <c r="A31" s="5" t="n">
        <v>46294</v>
      </c>
      <c r="B31" s="6" t="n">
        <v>0.4225810185185185</v>
      </c>
      <c r="C31" s="42" t="inlineStr">
        <is>
          <t>TOM Bank Hadi</t>
        </is>
      </c>
      <c r="D31" s="8" t="n">
        <v>48.8774</v>
      </c>
      <c r="E31" s="8" t="n">
        <v>49.0979</v>
      </c>
      <c r="F31" s="8" t="n">
        <v>0.2205</v>
      </c>
      <c r="G31" s="9" t="n">
        <v>0.004511287425272212</v>
      </c>
      <c r="H31" s="10" t="n">
        <v>55.4525</v>
      </c>
      <c r="I31" s="10" t="n">
        <v>55.7866</v>
      </c>
      <c r="J31" s="10" t="n">
        <v>0.3341</v>
      </c>
      <c r="K31" s="11" t="n">
        <v>0.006024976331094179</v>
      </c>
      <c r="L31" s="12" t="n">
        <v>6508.74</v>
      </c>
      <c r="M31" s="12" t="n">
        <v>6554.21</v>
      </c>
      <c r="N31" s="12" t="n">
        <v>45.47</v>
      </c>
      <c r="O31" s="13" t="n">
        <v>0.006985991144215316</v>
      </c>
    </row>
    <row r="32">
      <c r="A32" s="5" t="n">
        <v>46294</v>
      </c>
      <c r="B32" s="6" t="n">
        <v>0.4225810185185185</v>
      </c>
      <c r="C32" s="43" t="inlineStr">
        <is>
          <t>Türkiye Finans</t>
        </is>
      </c>
      <c r="D32" s="8" t="n">
        <v>48.5532</v>
      </c>
      <c r="E32" s="8" t="n">
        <v>49.356</v>
      </c>
      <c r="F32" s="8" t="n">
        <v>0.8028</v>
      </c>
      <c r="G32" s="9" t="n">
        <v>0.01653444057240306</v>
      </c>
      <c r="H32" s="10" t="n">
        <v>55.1852</v>
      </c>
      <c r="I32" s="10" t="n">
        <v>56.0358</v>
      </c>
      <c r="J32" s="10" t="n">
        <v>0.8506</v>
      </c>
      <c r="K32" s="11" t="n">
        <v>0.01541355290911331</v>
      </c>
      <c r="L32" s="12" t="n">
        <v>6421.22</v>
      </c>
      <c r="M32" s="12" t="n">
        <v>6617.14</v>
      </c>
      <c r="N32" s="12" t="n">
        <v>195.92</v>
      </c>
      <c r="O32" s="13" t="n">
        <v>0.0305113358520655</v>
      </c>
    </row>
    <row r="33">
      <c r="A33" s="5" t="n">
        <v>46294</v>
      </c>
      <c r="B33" s="6" t="n">
        <v>0.4225810185185185</v>
      </c>
      <c r="C33" s="44" t="inlineStr">
        <is>
          <t>Vakıf Katılım</t>
        </is>
      </c>
      <c r="D33" s="8" t="n">
        <v>48.855</v>
      </c>
      <c r="E33" s="8" t="n">
        <v>49.0611</v>
      </c>
      <c r="F33" s="8" t="n">
        <v>0.2061</v>
      </c>
      <c r="G33" s="9" t="n">
        <v>0.004218606079214001</v>
      </c>
      <c r="H33" s="10" t="n">
        <v>55.493</v>
      </c>
      <c r="I33" s="10" t="n">
        <v>55.7166</v>
      </c>
      <c r="J33" s="10" t="n">
        <v>0.2236</v>
      </c>
      <c r="K33" s="11" t="n">
        <v>0.004029337033499721</v>
      </c>
      <c r="L33" s="12" t="n">
        <v>6462.78</v>
      </c>
      <c r="M33" s="12" t="n">
        <v>6514.69</v>
      </c>
      <c r="N33" s="12" t="n">
        <v>51.91</v>
      </c>
      <c r="O33" s="13" t="n">
        <v>0.008032147156486837</v>
      </c>
    </row>
    <row r="34">
      <c r="A34" s="5" t="n">
        <v>46294</v>
      </c>
      <c r="B34" s="6" t="n">
        <v>0.4225810185185185</v>
      </c>
      <c r="C34" s="45" t="inlineStr">
        <is>
          <t>Vakıfbank</t>
        </is>
      </c>
      <c r="D34" s="8" t="n">
        <v>48.5994</v>
      </c>
      <c r="E34" s="8" t="n">
        <v>49.5831</v>
      </c>
      <c r="F34" s="8" t="n">
        <v>0.9837</v>
      </c>
      <c r="G34" s="9" t="n">
        <v>0.02024099062951394</v>
      </c>
      <c r="H34" s="10" t="n">
        <v>55.2044</v>
      </c>
      <c r="I34" s="10" t="n">
        <v>56.321</v>
      </c>
      <c r="J34" s="10" t="n">
        <v>1.1166</v>
      </c>
      <c r="K34" s="11" t="n">
        <v>0.02022664860047387</v>
      </c>
      <c r="L34" s="12" t="n">
        <v>6428.59</v>
      </c>
      <c r="M34" s="12" t="n">
        <v>6571.19</v>
      </c>
      <c r="N34" s="12" t="n">
        <v>142.6</v>
      </c>
      <c r="O34" s="13" t="n">
        <v>0.02218215814043204</v>
      </c>
    </row>
    <row r="35">
      <c r="A35" s="5" t="n">
        <v>46294</v>
      </c>
      <c r="B35" s="6" t="n">
        <v>0.4225810185185185</v>
      </c>
      <c r="C35" s="46" t="inlineStr">
        <is>
          <t>Venüs</t>
        </is>
      </c>
      <c r="D35" s="8" t="n">
        <v>48.959</v>
      </c>
      <c r="E35" s="8" t="n">
        <v>49.039</v>
      </c>
      <c r="F35" s="8" t="n">
        <v>0.08</v>
      </c>
      <c r="G35" s="9" t="n">
        <v>0.001634020302702261</v>
      </c>
      <c r="H35" s="10" t="n">
        <v>55.544</v>
      </c>
      <c r="I35" s="10" t="n">
        <v>55.684</v>
      </c>
      <c r="J35" s="10" t="n">
        <v>0.14</v>
      </c>
      <c r="K35" s="11" t="n">
        <v>0.002520524269047962</v>
      </c>
      <c r="L35" s="12" t="n"/>
      <c r="M35" s="12" t="n"/>
      <c r="N35" s="12" t="n"/>
      <c r="O35" s="13" t="n"/>
    </row>
    <row r="36">
      <c r="A36" s="5" t="n">
        <v>46294</v>
      </c>
      <c r="B36" s="6" t="n">
        <v>0.4225810185185185</v>
      </c>
      <c r="C36" s="47" t="inlineStr">
        <is>
          <t>Yapıkredi</t>
        </is>
      </c>
      <c r="D36" s="8" t="n">
        <v>48.35</v>
      </c>
      <c r="E36" s="8" t="n">
        <v>49.36</v>
      </c>
      <c r="F36" s="8" t="n">
        <v>1.01</v>
      </c>
      <c r="G36" s="9" t="n">
        <v>0.02088934850051706</v>
      </c>
      <c r="H36" s="10" t="n">
        <v>54.94</v>
      </c>
      <c r="I36" s="10" t="n">
        <v>56.06</v>
      </c>
      <c r="J36" s="10" t="n">
        <v>1.12</v>
      </c>
      <c r="K36" s="11" t="n">
        <v>0.02038587550054605</v>
      </c>
      <c r="L36" s="12" t="n">
        <v>6405.22</v>
      </c>
      <c r="M36" s="12" t="n">
        <v>6605.79</v>
      </c>
      <c r="N36" s="12" t="n">
        <v>200.57</v>
      </c>
      <c r="O36" s="13" t="n">
        <v>0.03131352240828574</v>
      </c>
    </row>
    <row r="37">
      <c r="A37" s="5" t="n">
        <v>46294</v>
      </c>
      <c r="B37" s="6" t="n">
        <v>0.4225810185185185</v>
      </c>
      <c r="C37" s="48" t="inlineStr">
        <is>
          <t>Ziraat Bankası</t>
        </is>
      </c>
      <c r="D37" s="8" t="n">
        <v>48.5875</v>
      </c>
      <c r="E37" s="8" t="n">
        <v>49.5705</v>
      </c>
      <c r="F37" s="8" t="n">
        <v>0.983</v>
      </c>
      <c r="G37" s="9" t="n">
        <v>0.02023154103421662</v>
      </c>
      <c r="H37" s="10" t="n">
        <v>55.1896</v>
      </c>
      <c r="I37" s="10" t="n">
        <v>56.3061</v>
      </c>
      <c r="J37" s="10" t="n">
        <v>1.1165</v>
      </c>
      <c r="K37" s="11" t="n">
        <v>0.02023026077376897</v>
      </c>
      <c r="L37" s="12" t="n">
        <v>6458.41</v>
      </c>
      <c r="M37" s="12" t="n">
        <v>6588.81</v>
      </c>
      <c r="N37" s="12" t="n">
        <v>130.4</v>
      </c>
      <c r="O37" s="13" t="n">
        <v>0.02019072805845401</v>
      </c>
    </row>
    <row r="38">
      <c r="A38" s="5" t="n">
        <v>46294</v>
      </c>
      <c r="B38" s="6" t="n">
        <v>0.4225810185185185</v>
      </c>
      <c r="C38" s="49" t="inlineStr">
        <is>
          <t>Ziraat Dinamik</t>
        </is>
      </c>
      <c r="D38" s="8" t="n">
        <v>48.6361</v>
      </c>
      <c r="E38" s="8" t="n">
        <v>49.2979</v>
      </c>
      <c r="F38" s="8" t="n">
        <v>0.6618000000000001</v>
      </c>
      <c r="G38" s="9" t="n">
        <v>0.01360717656226548</v>
      </c>
      <c r="H38" s="10" t="n">
        <v>55.1971</v>
      </c>
      <c r="I38" s="10" t="n">
        <v>56.004</v>
      </c>
      <c r="J38" s="10" t="n">
        <v>0.8069</v>
      </c>
      <c r="K38" s="11" t="n">
        <v>0.01461852162523031</v>
      </c>
      <c r="L38" s="12" t="n">
        <v>6433.49</v>
      </c>
      <c r="M38" s="12" t="n">
        <v>6563.39</v>
      </c>
      <c r="N38" s="12" t="n">
        <v>129.9</v>
      </c>
      <c r="O38" s="13" t="n">
        <v>0.02019121814131987</v>
      </c>
    </row>
    <row r="39">
      <c r="A39" s="5" t="n">
        <v>46294</v>
      </c>
      <c r="B39" s="6" t="n">
        <v>0.4225810185185185</v>
      </c>
      <c r="C39" s="50" t="inlineStr">
        <is>
          <t>Ziraat Katılım</t>
        </is>
      </c>
      <c r="D39" s="8" t="n">
        <v>48.4633</v>
      </c>
      <c r="E39" s="8" t="n">
        <v>49.4751</v>
      </c>
      <c r="F39" s="8" t="n">
        <v>1.0118</v>
      </c>
      <c r="G39" s="9" t="n">
        <v>0.02087765381226619</v>
      </c>
      <c r="H39" s="10" t="n">
        <v>55.0209</v>
      </c>
      <c r="I39" s="10" t="n">
        <v>56.2251</v>
      </c>
      <c r="J39" s="10" t="n">
        <v>1.2042</v>
      </c>
      <c r="K39" s="11" t="n">
        <v>0.02188622868764415</v>
      </c>
      <c r="L39" s="12" t="n">
        <v>6453.01</v>
      </c>
      <c r="M39" s="12" t="n">
        <v>6657.79</v>
      </c>
      <c r="N39" s="12" t="n">
        <v>204.78</v>
      </c>
      <c r="O39" s="13" t="n">
        <v>0.03173402799623741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</hyperlinks>
  <pageMargins left="0.75" right="0.75" top="1" bottom="1" header="0.5" footer="0.5"/>
  <tableParts count="1">
    <tablePart xmlns:r="http://schemas.openxmlformats.org/officeDocument/2006/relationships" r:id="rId355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46294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0.4225810185185185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0.02023154103421662</v>
      </c>
      <c r="O5" s="73" t="inlineStr">
        <is>
          <t>Ziraat Bankası</t>
        </is>
      </c>
      <c r="P5" s="74" t="n">
        <v>48.5875</v>
      </c>
      <c r="Q5" s="74" t="n">
        <v>49.5705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0.02023026077376897</v>
      </c>
      <c r="O6" s="73" t="inlineStr">
        <is>
          <t>Ziraat Bankası</t>
        </is>
      </c>
      <c r="P6" s="74" t="n">
        <v>55.1896</v>
      </c>
      <c r="Q6" s="74" t="n">
        <v>56.3061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0.02019072805845401</v>
      </c>
      <c r="O7" s="73" t="inlineStr">
        <is>
          <t>Ziraat Bankası</t>
        </is>
      </c>
      <c r="P7" s="74" t="n">
        <v>6458.41</v>
      </c>
      <c r="Q7" s="74" t="n">
        <v>6588.81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0.03256237928653154</v>
      </c>
      <c r="I10" s="69" t="n">
        <v>0.03256365469154657</v>
      </c>
      <c r="J10" s="70" t="n">
        <v>0.04736180425191828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0.03722446148659075</v>
      </c>
      <c r="I11" s="69" t="n">
        <v>0.03732137182052088</v>
      </c>
      <c r="J11" s="70" t="n">
        <v>0.05095482794790715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0.03048720157995023</v>
      </c>
      <c r="I12" s="69" t="n">
        <v>0.02860152388932074</v>
      </c>
      <c r="J12" s="70" t="n">
        <v>0.04373516490161448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0.03284561971752626</v>
      </c>
      <c r="I13" s="69" t="n">
        <v>0.032845466541044</v>
      </c>
      <c r="J13" s="70" t="n">
        <v>0.05882837040608337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0.03413051564773731</v>
      </c>
      <c r="I14" s="69" t="n">
        <v>0.03424598349657088</v>
      </c>
      <c r="J14" s="70" t="n">
        <v>0.05980354479927379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0.03256237928653154</v>
      </c>
      <c r="V3" s="55" t="n">
        <v>0.03722446148659075</v>
      </c>
      <c r="W3" s="55" t="n">
        <v>0.03048720157995023</v>
      </c>
      <c r="X3" s="55" t="n">
        <v>0.03284561971752626</v>
      </c>
      <c r="Y3" s="55" t="n">
        <v>0.03413051564773731</v>
      </c>
      <c r="Z3" s="55" t="n">
        <v>0.03256365469154657</v>
      </c>
      <c r="AA3" s="55" t="n">
        <v>0.03732137182052088</v>
      </c>
      <c r="AB3" s="55" t="n">
        <v>0.02860152388932074</v>
      </c>
      <c r="AC3" s="55" t="n">
        <v>0.032845466541044</v>
      </c>
      <c r="AD3" s="55" t="n">
        <v>0.03424598349657088</v>
      </c>
      <c r="AE3" s="55" t="n">
        <v>0.04736180425191828</v>
      </c>
      <c r="AF3" s="55" t="n">
        <v>0.05095482794790715</v>
      </c>
      <c r="AG3" s="55" t="n">
        <v>0.04373516490161448</v>
      </c>
      <c r="AH3" s="55" t="n">
        <v>0.05882837040608337</v>
      </c>
      <c r="AI3" s="55" t="n">
        <v>0.05980354479927379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2026-09-29T07:09:07Z</dcterms:created>
  <dcterms:modified xsi:type="dcterms:W3CDTF">2026-09-29T07:09:08Z</dcterms:modified>
</cp:coreProperties>
</file>