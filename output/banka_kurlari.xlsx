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'GRAFIK_VERILERI'!$B$2:$B$56</f>
              <numCache>
                <formatCode>0.00%</formatCode>
                <ptCount val="5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'GRAFIK_VERILERI'!$C$2:$C$56</f>
              <numCache>
                <formatCode>0.00%</formatCode>
                <ptCount val="5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'GRAFIK_VERILERI'!$D$2:$D$56</f>
              <numCache>
                <formatCode>0.00%</formatCode>
                <ptCount val="5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'GRAFIK_VERILERI'!$E$2:$E$56</f>
              <numCache>
                <formatCode>0.00%</formatCode>
                <ptCount val="5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'GRAFIK_VERILERI'!$F$2:$F$56</f>
              <numCache>
                <formatCode>0.00%</formatCode>
                <ptCount val="5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'GRAFIK_VERILERI'!$G$2:$G$56</f>
              <numCache>
                <formatCode>0.00%</formatCode>
                <ptCount val="5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'GRAFIK_VERILERI'!$H$2:$H$56</f>
              <numCache>
                <formatCode>0.00%</formatCode>
                <ptCount val="5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'GRAFIK_VERILERI'!$I$2:$I$56</f>
              <numCache>
                <formatCode>0.00%</formatCode>
                <ptCount val="5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'GRAFIK_VERILERI'!$J$2:$J$56</f>
              <numCache>
                <formatCode>0.00%</formatCode>
                <ptCount val="5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'GRAFIK_VERILERI'!$K$2:$K$56</f>
              <numCache>
                <formatCode>0.00%</formatCode>
                <ptCount val="5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'GRAFIK_VERILERI'!$L$2:$L$56</f>
              <numCache>
                <formatCode>0.00%</formatCode>
                <ptCount val="5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'GRAFIK_VERILERI'!$M$2:$M$56</f>
              <numCache>
                <formatCode>0.00%</formatCode>
                <ptCount val="5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'GRAFIK_VERILERI'!$N$2:$N$56</f>
              <numCache>
                <formatCode>0.00%</formatCode>
                <ptCount val="5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'GRAFIK_VERILERI'!$O$2:$O$56</f>
              <numCache>
                <formatCode>0.00%</formatCode>
                <ptCount val="5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'GRAFIK_VERILERI'!$P$2:$P$56</f>
              <numCache>
                <formatCode>0.00%</formatCode>
                <ptCount val="5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0.03177785566586745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0.03599856722043954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0.03064704846647623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0.03184446394130204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0.03326766065699521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0.03177614098946672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0.03606721649166977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0.02937756593115857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0.03184464449101825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0.03338602684917919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0.04312445501975971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0.04906388614290783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0.04581498703699882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0.05576208013189275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0.05766457187759807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148835035247"/>
          <min val="0.0343343991305729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'GRAFIK_VERILERI'!$B$2:$B$56</f>
              <numCache>
                <formatCode>0.00%</formatCode>
                <ptCount val="5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118457219692"/>
          <min val="0.0247165314828860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'GRAFIK_VERILERI'!$G$2:$G$56</f>
              <numCache>
                <formatCode>0.00%</formatCode>
                <ptCount val="5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881471760606"/>
          <min val="0.0247102034551792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'GRAFIK_VERILERI'!$L$2:$L$56</f>
              <numCache>
                <formatCode>0.00%</formatCode>
                <ptCount val="5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71988942525"/>
          <min val="0.022971401746513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'GRAFIK_VERILERI'!$C$2:$C$56</f>
              <numCache>
                <formatCode>0.00%</formatCode>
                <ptCount val="5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6233048837787"/>
          <min val="0.0216435673830547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'GRAFIK_VERILERI'!$H$2:$H$56</f>
              <numCache>
                <formatCode>0.00%</formatCode>
                <ptCount val="5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9152225964436"/>
          <min val="0.0215891372810075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'GRAFIK_VERILERI'!$M$2:$M$56</f>
              <numCache>
                <formatCode>0.00%</formatCode>
                <ptCount val="5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3010968989204"/>
          <min val="0.025136381283411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'GRAFIK_VERILERI'!$D$2:$D$56</f>
              <numCache>
                <formatCode>0.00%</formatCode>
                <ptCount val="5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'GRAFIK_VERILERI'!$I$2:$I$56</f>
              <numCache>
                <formatCode>0.00%</formatCode>
                <ptCount val="5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'GRAFIK_VERILERI'!$N$2:$N$56</f>
              <numCache>
                <formatCode>0.00%</formatCode>
                <ptCount val="5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'GRAFIK_VERILERI'!$E$2:$E$56</f>
              <numCache>
                <formatCode>0.00%</formatCode>
                <ptCount val="5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'GRAFIK_VERILERI'!$J$2:$J$56</f>
              <numCache>
                <formatCode>0.00%</formatCode>
                <ptCount val="5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'GRAFIK_VERILERI'!$O$2:$O$56</f>
              <numCache>
                <formatCode>0.00%</formatCode>
                <ptCount val="5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'GRAFIK_VERILERI'!$F$2:$F$56</f>
              <numCache>
                <formatCode>0.00%</formatCode>
                <ptCount val="5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'GRAFIK_VERILERI'!$K$2:$K$56</f>
              <numCache>
                <formatCode>0.00%</formatCode>
                <ptCount val="5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'GRAFIK_VERILERI'!$A$2:$A$56</f>
              <strCache>
                <ptCount val="5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</strCache>
            </strRef>
          </cat>
          <val>
            <numRef>
              <f>'GRAFIK_VERILERI'!$P$2:$P$56</f>
              <numCache>
                <formatCode>0.00%</formatCode>
                <ptCount val="5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932" headerRowCount="1">
  <autoFilter ref="A1:N5932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table" Target="/xl/tables/table2.xml" Id="rId593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46316</v>
      </c>
      <c r="B2" s="6" t="n">
        <v>0.4405555555555555</v>
      </c>
      <c r="C2" s="7" t="inlineStr">
        <is>
          <t>Akbank</t>
        </is>
      </c>
      <c r="D2" s="8" t="n">
        <v>48.806</v>
      </c>
      <c r="E2" s="8" t="n">
        <v>50.156</v>
      </c>
      <c r="F2" s="8" t="n">
        <v>1.35</v>
      </c>
      <c r="G2" s="9" t="n">
        <v>0.02766053354095808</v>
      </c>
      <c r="H2" s="10" t="n">
        <v>54.7849</v>
      </c>
      <c r="I2" s="10" t="n">
        <v>56.3003</v>
      </c>
      <c r="J2" s="10" t="n">
        <v>1.5154</v>
      </c>
      <c r="K2" s="11" t="n">
        <v>0.02766090656366992</v>
      </c>
      <c r="L2" s="12" t="n">
        <v>6405.49</v>
      </c>
      <c r="M2" s="12" t="n">
        <v>6630.55</v>
      </c>
      <c r="N2" s="12" t="n">
        <v>225.06</v>
      </c>
      <c r="O2" s="13" t="n">
        <v>0.03513548534148051</v>
      </c>
    </row>
    <row r="3">
      <c r="A3" s="5" t="n">
        <v>46316</v>
      </c>
      <c r="B3" s="6" t="n">
        <v>0.4405555555555555</v>
      </c>
      <c r="C3" s="14" t="inlineStr">
        <is>
          <t>Albaraka Türk</t>
        </is>
      </c>
      <c r="D3" s="8" t="n">
        <v>49.132</v>
      </c>
      <c r="E3" s="8" t="n">
        <v>49.853</v>
      </c>
      <c r="F3" s="8" t="n">
        <v>0.721</v>
      </c>
      <c r="G3" s="9" t="n">
        <v>0.0146747537246601</v>
      </c>
      <c r="H3" s="10" t="n">
        <v>55.135</v>
      </c>
      <c r="I3" s="10" t="n">
        <v>55.951</v>
      </c>
      <c r="J3" s="10" t="n">
        <v>0.8159999999999999</v>
      </c>
      <c r="K3" s="11" t="n">
        <v>0.01480003627459871</v>
      </c>
      <c r="L3" s="12" t="n">
        <v>6462.37</v>
      </c>
      <c r="M3" s="12" t="n">
        <v>6584.12</v>
      </c>
      <c r="N3" s="12" t="n">
        <v>121.75</v>
      </c>
      <c r="O3" s="13" t="n">
        <v>0.01883983739711592</v>
      </c>
    </row>
    <row r="4">
      <c r="A4" s="5" t="n">
        <v>46316</v>
      </c>
      <c r="B4" s="6" t="n">
        <v>0.4405555555555555</v>
      </c>
      <c r="C4" s="15" t="inlineStr">
        <is>
          <t>Alternatif Bank</t>
        </is>
      </c>
      <c r="D4" s="8" t="n">
        <v>49.386</v>
      </c>
      <c r="E4" s="8" t="n">
        <v>49.679</v>
      </c>
      <c r="F4" s="8" t="n">
        <v>0.293</v>
      </c>
      <c r="G4" s="9" t="n">
        <v>0.005932855465111571</v>
      </c>
      <c r="H4" s="10" t="n">
        <v>55.273</v>
      </c>
      <c r="I4" s="10" t="n">
        <v>55.771</v>
      </c>
      <c r="J4" s="10" t="n">
        <v>0.498</v>
      </c>
      <c r="K4" s="11" t="n">
        <v>0.009009823964684385</v>
      </c>
      <c r="L4" s="12" t="n">
        <v>6538.35</v>
      </c>
      <c r="M4" s="12" t="n">
        <v>6603.21</v>
      </c>
      <c r="N4" s="12" t="n">
        <v>64.86</v>
      </c>
      <c r="O4" s="13" t="n">
        <v>0.009919933928284658</v>
      </c>
    </row>
    <row r="5">
      <c r="A5" s="5" t="n">
        <v>46316</v>
      </c>
      <c r="B5" s="6" t="n">
        <v>0.4405555555555555</v>
      </c>
      <c r="C5" s="16" t="inlineStr">
        <is>
          <t>Altınkaynak</t>
        </is>
      </c>
      <c r="D5" s="8" t="n">
        <v>49.55</v>
      </c>
      <c r="E5" s="8" t="n">
        <v>49.74</v>
      </c>
      <c r="F5" s="8" t="n">
        <v>0.19</v>
      </c>
      <c r="G5" s="9" t="n">
        <v>0.003834510595358224</v>
      </c>
      <c r="H5" s="10" t="n">
        <v>55.475</v>
      </c>
      <c r="I5" s="10" t="n">
        <v>55.827</v>
      </c>
      <c r="J5" s="10" t="n">
        <v>0.352</v>
      </c>
      <c r="K5" s="11" t="n">
        <v>0.006345200540784138</v>
      </c>
      <c r="L5" s="12" t="n">
        <v>6512</v>
      </c>
      <c r="M5" s="12" t="n">
        <v>6650</v>
      </c>
      <c r="N5" s="12" t="n">
        <v>138</v>
      </c>
      <c r="O5" s="13" t="n">
        <v>0.02119164619164619</v>
      </c>
    </row>
    <row r="6">
      <c r="A6" s="5" t="n">
        <v>46316</v>
      </c>
      <c r="B6" s="6" t="n">
        <v>0.4405555555555555</v>
      </c>
      <c r="C6" s="17" t="inlineStr">
        <is>
          <t>Anadolubank</t>
        </is>
      </c>
      <c r="D6" s="8" t="n">
        <v>48.7573</v>
      </c>
      <c r="E6" s="8" t="n">
        <v>50.0341</v>
      </c>
      <c r="F6" s="8" t="n">
        <v>1.2768</v>
      </c>
      <c r="G6" s="9" t="n">
        <v>0.0261868479181579</v>
      </c>
      <c r="H6" s="10" t="n">
        <v>54.7932</v>
      </c>
      <c r="I6" s="10" t="n">
        <v>56.159</v>
      </c>
      <c r="J6" s="10" t="n">
        <v>1.3658</v>
      </c>
      <c r="K6" s="11" t="n">
        <v>0.02492645072746253</v>
      </c>
      <c r="L6" s="12" t="n">
        <v>6455.74</v>
      </c>
      <c r="M6" s="12" t="n">
        <v>6606.72</v>
      </c>
      <c r="N6" s="12" t="n">
        <v>150.98</v>
      </c>
      <c r="O6" s="13" t="n">
        <v>0.02338693937488189</v>
      </c>
    </row>
    <row r="7">
      <c r="A7" s="5" t="n">
        <v>46316</v>
      </c>
      <c r="B7" s="6" t="n">
        <v>0.4405555555555555</v>
      </c>
      <c r="C7" s="18" t="inlineStr">
        <is>
          <t>CEPTETEB</t>
        </is>
      </c>
      <c r="D7" s="8" t="n">
        <v>48.58</v>
      </c>
      <c r="E7" s="8" t="n">
        <v>50.554</v>
      </c>
      <c r="F7" s="8" t="n">
        <v>1.974</v>
      </c>
      <c r="G7" s="9" t="n">
        <v>0.04063400576368876</v>
      </c>
      <c r="H7" s="10" t="n">
        <v>54.507</v>
      </c>
      <c r="I7" s="10" t="n">
        <v>56.752</v>
      </c>
      <c r="J7" s="10" t="n">
        <v>2.245</v>
      </c>
      <c r="K7" s="11" t="n">
        <v>0.04118737042948612</v>
      </c>
      <c r="L7" s="12" t="n">
        <v>6448.39</v>
      </c>
      <c r="M7" s="12" t="n">
        <v>6647.26</v>
      </c>
      <c r="N7" s="12" t="n">
        <v>198.87</v>
      </c>
      <c r="O7" s="13" t="n">
        <v>0.03084025625000969</v>
      </c>
    </row>
    <row r="8">
      <c r="A8" s="5" t="n">
        <v>46316</v>
      </c>
      <c r="B8" s="6" t="n">
        <v>0.4405555555555555</v>
      </c>
      <c r="C8" s="19" t="inlineStr">
        <is>
          <t>Denizbank</t>
        </is>
      </c>
      <c r="D8" s="8" t="n">
        <v>48.859</v>
      </c>
      <c r="E8" s="8" t="n">
        <v>50.2591</v>
      </c>
      <c r="F8" s="8" t="n">
        <v>1.4001</v>
      </c>
      <c r="G8" s="9" t="n">
        <v>0.02865592828342782</v>
      </c>
      <c r="H8" s="10" t="n">
        <v>54.834</v>
      </c>
      <c r="I8" s="10" t="n">
        <v>56.4053</v>
      </c>
      <c r="J8" s="10" t="n">
        <v>1.5713</v>
      </c>
      <c r="K8" s="11" t="n">
        <v>0.02865557865557866</v>
      </c>
      <c r="L8" s="12" t="n">
        <v>6471.5</v>
      </c>
      <c r="M8" s="12" t="n">
        <v>6657.81</v>
      </c>
      <c r="N8" s="12" t="n">
        <v>186.31</v>
      </c>
      <c r="O8" s="13" t="n">
        <v>0.02878930696129182</v>
      </c>
    </row>
    <row r="9">
      <c r="A9" s="5" t="n">
        <v>46316</v>
      </c>
      <c r="B9" s="6" t="n">
        <v>0.4405555555555555</v>
      </c>
      <c r="C9" s="20" t="inlineStr">
        <is>
          <t>DestekBank</t>
        </is>
      </c>
      <c r="D9" s="8" t="n">
        <v>49.4904</v>
      </c>
      <c r="E9" s="8" t="n">
        <v>49.6238</v>
      </c>
      <c r="F9" s="8" t="n">
        <v>0.1334</v>
      </c>
      <c r="G9" s="9" t="n">
        <v>0.002695472253204662</v>
      </c>
      <c r="H9" s="10" t="n">
        <v>55.5084</v>
      </c>
      <c r="I9" s="10" t="n">
        <v>55.6878</v>
      </c>
      <c r="J9" s="10" t="n">
        <v>0.1794</v>
      </c>
      <c r="K9" s="11" t="n">
        <v>0.003231943273450505</v>
      </c>
      <c r="L9" s="12" t="n">
        <v>6454.19</v>
      </c>
      <c r="M9" s="12" t="n">
        <v>6585.82</v>
      </c>
      <c r="N9" s="12" t="n">
        <v>131.63</v>
      </c>
      <c r="O9" s="13" t="n">
        <v>0.02039450341561063</v>
      </c>
    </row>
    <row r="10">
      <c r="A10" s="5" t="n">
        <v>46316</v>
      </c>
      <c r="B10" s="6" t="n">
        <v>0.4405555555555555</v>
      </c>
      <c r="C10" s="21" t="inlineStr">
        <is>
          <t>Dünya Katılım</t>
        </is>
      </c>
      <c r="D10" s="8" t="n">
        <v>49.5123</v>
      </c>
      <c r="E10" s="8" t="n">
        <v>49.6043</v>
      </c>
      <c r="F10" s="8" t="n">
        <v>0.092</v>
      </c>
      <c r="G10" s="9" t="n">
        <v>0.001858124142889747</v>
      </c>
      <c r="H10" s="10" t="n">
        <v>55.502</v>
      </c>
      <c r="I10" s="10" t="n">
        <v>55.6998</v>
      </c>
      <c r="J10" s="10" t="n">
        <v>0.1978</v>
      </c>
      <c r="K10" s="11" t="n">
        <v>0.00356383553745811</v>
      </c>
      <c r="L10" s="12" t="n">
        <v>6514.43</v>
      </c>
      <c r="M10" s="12" t="n">
        <v>6548.58</v>
      </c>
      <c r="N10" s="12" t="n">
        <v>34.15</v>
      </c>
      <c r="O10" s="13" t="n">
        <v>0.005242208451084746</v>
      </c>
    </row>
    <row r="11">
      <c r="A11" s="5" t="n">
        <v>46316</v>
      </c>
      <c r="B11" s="6" t="n">
        <v>0.4405555555555555</v>
      </c>
      <c r="C11" s="22" t="inlineStr">
        <is>
          <t>Emlak Katılım</t>
        </is>
      </c>
      <c r="D11" s="8" t="n">
        <v>49.2207</v>
      </c>
      <c r="E11" s="8" t="n">
        <v>50.4911</v>
      </c>
      <c r="F11" s="8" t="n">
        <v>1.2704</v>
      </c>
      <c r="G11" s="9" t="n">
        <v>0.02581027900862849</v>
      </c>
      <c r="H11" s="10" t="n">
        <v>55.1423</v>
      </c>
      <c r="I11" s="10" t="n">
        <v>56.4165</v>
      </c>
      <c r="J11" s="10" t="n">
        <v>1.2742</v>
      </c>
      <c r="K11" s="11" t="n">
        <v>0.02310748735544219</v>
      </c>
      <c r="L11" s="12" t="n">
        <v>6488.84</v>
      </c>
      <c r="M11" s="12" t="n">
        <v>6563.04</v>
      </c>
      <c r="N11" s="12" t="n">
        <v>74.2</v>
      </c>
      <c r="O11" s="13" t="n">
        <v>0.01143501766109197</v>
      </c>
    </row>
    <row r="12">
      <c r="A12" s="5" t="n">
        <v>46316</v>
      </c>
      <c r="B12" s="6" t="n">
        <v>0.4405555555555555</v>
      </c>
      <c r="C12" s="23" t="inlineStr">
        <is>
          <t>Enpara</t>
        </is>
      </c>
      <c r="D12" s="8" t="n">
        <v>49.0525</v>
      </c>
      <c r="E12" s="8" t="n">
        <v>49.8525</v>
      </c>
      <c r="F12" s="8" t="n">
        <v>0.8</v>
      </c>
      <c r="G12" s="9" t="n">
        <v>0.01630905662300596</v>
      </c>
      <c r="H12" s="10" t="n">
        <v>54.9917</v>
      </c>
      <c r="I12" s="10" t="n">
        <v>56.0104</v>
      </c>
      <c r="J12" s="10" t="n">
        <v>1.0187</v>
      </c>
      <c r="K12" s="11" t="n">
        <v>0.01852461371443327</v>
      </c>
      <c r="L12" s="12" t="n">
        <v>6457.77</v>
      </c>
      <c r="M12" s="12" t="n">
        <v>6585.84</v>
      </c>
      <c r="N12" s="12" t="n">
        <v>128.07</v>
      </c>
      <c r="O12" s="13" t="n">
        <v>0.01983192340389949</v>
      </c>
    </row>
    <row r="13">
      <c r="A13" s="5" t="n">
        <v>46316</v>
      </c>
      <c r="B13" s="6" t="n">
        <v>0.4405555555555555</v>
      </c>
      <c r="C13" s="24" t="inlineStr">
        <is>
          <t>Fibabanka</t>
        </is>
      </c>
      <c r="D13" s="8" t="n">
        <v>49.3024</v>
      </c>
      <c r="E13" s="8" t="n">
        <v>49.9098</v>
      </c>
      <c r="F13" s="8" t="n">
        <v>0.6074000000000001</v>
      </c>
      <c r="G13" s="9" t="n">
        <v>0.01231988706432141</v>
      </c>
      <c r="H13" s="10" t="n">
        <v>55.3382</v>
      </c>
      <c r="I13" s="10" t="n">
        <v>55.9989</v>
      </c>
      <c r="J13" s="10" t="n">
        <v>0.6607</v>
      </c>
      <c r="K13" s="11" t="n">
        <v>0.0119393113617718</v>
      </c>
      <c r="L13" s="12" t="n">
        <v>6538.21</v>
      </c>
      <c r="M13" s="12" t="n">
        <v>6592.41</v>
      </c>
      <c r="N13" s="12" t="n">
        <v>54.2</v>
      </c>
      <c r="O13" s="13" t="n">
        <v>0.008289730675521282</v>
      </c>
    </row>
    <row r="14">
      <c r="A14" s="5" t="n">
        <v>46316</v>
      </c>
      <c r="B14" s="6" t="n">
        <v>0.4405555555555555</v>
      </c>
      <c r="C14" s="25" t="inlineStr">
        <is>
          <t>Garanti BBVA</t>
        </is>
      </c>
      <c r="D14" s="8" t="n">
        <v>48.759</v>
      </c>
      <c r="E14" s="8" t="n">
        <v>50.109</v>
      </c>
      <c r="F14" s="8" t="n">
        <v>1.35</v>
      </c>
      <c r="G14" s="9" t="n">
        <v>0.02768719620993048</v>
      </c>
      <c r="H14" s="10" t="n">
        <v>54.727</v>
      </c>
      <c r="I14" s="10" t="n">
        <v>56.242</v>
      </c>
      <c r="J14" s="10" t="n">
        <v>1.515</v>
      </c>
      <c r="K14" s="11" t="n">
        <v>0.02768286220695452</v>
      </c>
      <c r="L14" s="12" t="n">
        <v>6459.13</v>
      </c>
      <c r="M14" s="12" t="n">
        <v>6659.2</v>
      </c>
      <c r="N14" s="12" t="n">
        <v>200.07</v>
      </c>
      <c r="O14" s="13" t="n">
        <v>0.03097475975866719</v>
      </c>
    </row>
    <row r="15">
      <c r="A15" s="5" t="n">
        <v>46316</v>
      </c>
      <c r="B15" s="6" t="n">
        <v>0.4405555555555555</v>
      </c>
      <c r="C15" s="26" t="inlineStr">
        <is>
          <t>Getirfinans</t>
        </is>
      </c>
      <c r="D15" s="8" t="n">
        <v>49.3026</v>
      </c>
      <c r="E15" s="8" t="n">
        <v>49.91</v>
      </c>
      <c r="F15" s="8" t="n">
        <v>0.6074000000000001</v>
      </c>
      <c r="G15" s="9" t="n">
        <v>0.01231983708769923</v>
      </c>
      <c r="H15" s="10" t="n">
        <v>55.3375</v>
      </c>
      <c r="I15" s="10" t="n">
        <v>55.9982</v>
      </c>
      <c r="J15" s="10" t="n">
        <v>0.6607</v>
      </c>
      <c r="K15" s="11" t="n">
        <v>0.01193946238988028</v>
      </c>
      <c r="L15" s="12" t="n">
        <v>6537.81</v>
      </c>
      <c r="M15" s="12" t="n">
        <v>6592.13</v>
      </c>
      <c r="N15" s="12" t="n">
        <v>54.32</v>
      </c>
      <c r="O15" s="13" t="n">
        <v>0.008308592632701166</v>
      </c>
    </row>
    <row r="16">
      <c r="A16" s="5" t="n">
        <v>46316</v>
      </c>
      <c r="B16" s="6" t="n">
        <v>0.4405555555555555</v>
      </c>
      <c r="C16" s="27" t="inlineStr">
        <is>
          <t>Halkbank</t>
        </is>
      </c>
      <c r="D16" s="8" t="n">
        <v>49.1725</v>
      </c>
      <c r="E16" s="8" t="n">
        <v>50.1625</v>
      </c>
      <c r="F16" s="8" t="n">
        <v>0.99</v>
      </c>
      <c r="G16" s="9" t="n">
        <v>0.02013320453505517</v>
      </c>
      <c r="H16" s="10" t="n">
        <v>55.1838</v>
      </c>
      <c r="I16" s="10" t="n">
        <v>56.2949</v>
      </c>
      <c r="J16" s="10" t="n">
        <v>1.1111</v>
      </c>
      <c r="K16" s="11" t="n">
        <v>0.02013453223590982</v>
      </c>
      <c r="L16" s="12" t="n">
        <v>6476.78</v>
      </c>
      <c r="M16" s="12" t="n">
        <v>6673.51</v>
      </c>
      <c r="N16" s="12" t="n">
        <v>196.73</v>
      </c>
      <c r="O16" s="13" t="n">
        <v>0.03037466148302088</v>
      </c>
    </row>
    <row r="17">
      <c r="A17" s="5" t="n">
        <v>46316</v>
      </c>
      <c r="B17" s="6" t="n">
        <v>0.4405555555555555</v>
      </c>
      <c r="C17" s="28" t="inlineStr">
        <is>
          <t>Harem</t>
        </is>
      </c>
      <c r="D17" s="8" t="n">
        <v>49.576</v>
      </c>
      <c r="E17" s="8" t="n">
        <v>49.638</v>
      </c>
      <c r="F17" s="8" t="n">
        <v>0.062</v>
      </c>
      <c r="G17" s="9" t="n">
        <v>0.001250605131515249</v>
      </c>
      <c r="H17" s="10" t="n">
        <v>55.519</v>
      </c>
      <c r="I17" s="10" t="n">
        <v>55.661</v>
      </c>
      <c r="J17" s="10" t="n">
        <v>0.142</v>
      </c>
      <c r="K17" s="11" t="n">
        <v>0.002557682955384643</v>
      </c>
      <c r="L17" s="12" t="n">
        <v>6525</v>
      </c>
      <c r="M17" s="12" t="n">
        <v>6599.71</v>
      </c>
      <c r="N17" s="12" t="n">
        <v>74.70999999999999</v>
      </c>
      <c r="O17" s="13" t="n">
        <v>0.01144980842911877</v>
      </c>
    </row>
    <row r="18">
      <c r="A18" s="5" t="n">
        <v>46316</v>
      </c>
      <c r="B18" s="6" t="n">
        <v>0.4405555555555555</v>
      </c>
      <c r="C18" s="29" t="inlineStr">
        <is>
          <t>Hayat Finans</t>
        </is>
      </c>
      <c r="D18" s="8" t="n">
        <v>49.5213</v>
      </c>
      <c r="E18" s="8" t="n">
        <v>49.6716</v>
      </c>
      <c r="F18" s="8" t="n">
        <v>0.1503</v>
      </c>
      <c r="G18" s="9" t="n">
        <v>0.003035057641863198</v>
      </c>
      <c r="H18" s="10" t="n">
        <v>55.5644</v>
      </c>
      <c r="I18" s="10" t="n">
        <v>55.735</v>
      </c>
      <c r="J18" s="10" t="n">
        <v>0.1706</v>
      </c>
      <c r="K18" s="11" t="n">
        <v>0.003070311206455932</v>
      </c>
      <c r="L18" s="12" t="n">
        <v>6527.33</v>
      </c>
      <c r="M18" s="12" t="n">
        <v>6573.67</v>
      </c>
      <c r="N18" s="12" t="n">
        <v>46.34</v>
      </c>
      <c r="O18" s="13" t="n">
        <v>0.007099380604320603</v>
      </c>
    </row>
    <row r="19">
      <c r="A19" s="5" t="n">
        <v>46316</v>
      </c>
      <c r="B19" s="6" t="n">
        <v>0.4405555555555555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6424.01</v>
      </c>
      <c r="M19" s="12" t="n">
        <v>6613.68</v>
      </c>
      <c r="N19" s="12" t="n">
        <v>189.67</v>
      </c>
      <c r="O19" s="13" t="n">
        <v>0.0295251719720237</v>
      </c>
    </row>
    <row r="20">
      <c r="A20" s="5" t="n">
        <v>46316</v>
      </c>
      <c r="B20" s="6" t="n">
        <v>0.4405555555555555</v>
      </c>
      <c r="C20" s="31" t="inlineStr">
        <is>
          <t>HSBC</t>
        </is>
      </c>
      <c r="D20" s="8" t="n">
        <v>49.1103</v>
      </c>
      <c r="E20" s="8" t="n">
        <v>49.9948</v>
      </c>
      <c r="F20" s="8" t="n">
        <v>0.8845</v>
      </c>
      <c r="G20" s="9" t="n">
        <v>0.01801047845360342</v>
      </c>
      <c r="H20" s="10" t="n">
        <v>55.0953</v>
      </c>
      <c r="I20" s="10" t="n">
        <v>56.1681</v>
      </c>
      <c r="J20" s="10" t="n">
        <v>1.0728</v>
      </c>
      <c r="K20" s="11" t="n">
        <v>0.01947171537318065</v>
      </c>
      <c r="L20" s="12" t="n">
        <v>6470.9</v>
      </c>
      <c r="M20" s="12" t="n">
        <v>6916.02</v>
      </c>
      <c r="N20" s="12" t="n">
        <v>445.12</v>
      </c>
      <c r="O20" s="13" t="n">
        <v>0.06878795839836807</v>
      </c>
    </row>
    <row r="21">
      <c r="A21" s="5" t="n">
        <v>46316</v>
      </c>
      <c r="B21" s="6" t="n">
        <v>0.4405555555555555</v>
      </c>
      <c r="C21" s="32" t="inlineStr">
        <is>
          <t>ING Bank</t>
        </is>
      </c>
      <c r="D21" s="8" t="n">
        <v>49.0567</v>
      </c>
      <c r="E21" s="8" t="n">
        <v>50.0608</v>
      </c>
      <c r="F21" s="8" t="n">
        <v>1.0041</v>
      </c>
      <c r="G21" s="9" t="n">
        <v>0.02046815215862461</v>
      </c>
      <c r="H21" s="10" t="n">
        <v>55.11</v>
      </c>
      <c r="I21" s="10" t="n">
        <v>56.1267</v>
      </c>
      <c r="J21" s="10" t="n">
        <v>1.0167</v>
      </c>
      <c r="K21" s="11" t="n">
        <v>0.01844855743059336</v>
      </c>
      <c r="L21" s="12" t="n">
        <v>6411.8</v>
      </c>
      <c r="M21" s="12" t="n">
        <v>6713.52</v>
      </c>
      <c r="N21" s="12" t="n">
        <v>301.72</v>
      </c>
      <c r="O21" s="13" t="n">
        <v>0.04705698867712654</v>
      </c>
    </row>
    <row r="22">
      <c r="A22" s="5" t="n">
        <v>46316</v>
      </c>
      <c r="B22" s="6" t="n">
        <v>0.4405555555555555</v>
      </c>
      <c r="C22" s="33" t="inlineStr">
        <is>
          <t>İş Bankası</t>
        </is>
      </c>
      <c r="D22" s="8" t="n">
        <v>48.9671</v>
      </c>
      <c r="E22" s="8" t="n">
        <v>50.1556</v>
      </c>
      <c r="F22" s="8" t="n">
        <v>1.1885</v>
      </c>
      <c r="G22" s="9" t="n">
        <v>0.02427139855127218</v>
      </c>
      <c r="H22" s="10" t="n">
        <v>54.9459</v>
      </c>
      <c r="I22" s="10" t="n">
        <v>56.2896</v>
      </c>
      <c r="J22" s="10" t="n">
        <v>1.3437</v>
      </c>
      <c r="K22" s="11" t="n">
        <v>0.02445496388265549</v>
      </c>
      <c r="L22" s="12" t="n">
        <v>6462.03</v>
      </c>
      <c r="M22" s="12" t="n">
        <v>6639.37</v>
      </c>
      <c r="N22" s="12" t="n">
        <v>177.34</v>
      </c>
      <c r="O22" s="13" t="n">
        <v>0.02744338853270567</v>
      </c>
    </row>
    <row r="23">
      <c r="A23" s="5" t="n">
        <v>46316</v>
      </c>
      <c r="B23" s="6" t="n">
        <v>0.4405555555555555</v>
      </c>
      <c r="C23" s="34" t="inlineStr">
        <is>
          <t>Kapalıçarşı</t>
        </is>
      </c>
      <c r="D23" s="8" t="n">
        <v>49.62</v>
      </c>
      <c r="E23" s="8" t="n">
        <v>49.64</v>
      </c>
      <c r="F23" s="8" t="n">
        <v>0.02</v>
      </c>
      <c r="G23" s="9" t="n">
        <v>0.0004030632809351068</v>
      </c>
      <c r="H23" s="10" t="n">
        <v>55.6</v>
      </c>
      <c r="I23" s="10" t="n">
        <v>55.65</v>
      </c>
      <c r="J23" s="10" t="n">
        <v>0.05</v>
      </c>
      <c r="K23" s="11" t="n">
        <v>0.0008992805755395683</v>
      </c>
      <c r="L23" s="12" t="n">
        <v>6565.3</v>
      </c>
      <c r="M23" s="12" t="n">
        <v>6572.94</v>
      </c>
      <c r="N23" s="12" t="n">
        <v>7.64</v>
      </c>
      <c r="O23" s="13" t="n">
        <v>0.001163693966764657</v>
      </c>
    </row>
    <row r="24">
      <c r="A24" s="5" t="n">
        <v>46316</v>
      </c>
      <c r="B24" s="6" t="n">
        <v>0.4405555555555555</v>
      </c>
      <c r="C24" s="35" t="inlineStr">
        <is>
          <t>Kuveyt Türk</t>
        </is>
      </c>
      <c r="D24" s="8" t="n">
        <v>49.2133</v>
      </c>
      <c r="E24" s="8" t="n">
        <v>50.1974</v>
      </c>
      <c r="F24" s="8" t="n">
        <v>0.9841</v>
      </c>
      <c r="G24" s="9" t="n">
        <v>0.01999662692808651</v>
      </c>
      <c r="H24" s="10" t="n">
        <v>54.9774</v>
      </c>
      <c r="I24" s="10" t="n">
        <v>56.0907</v>
      </c>
      <c r="J24" s="10" t="n">
        <v>1.1133</v>
      </c>
      <c r="K24" s="11" t="n">
        <v>0.02025013914808631</v>
      </c>
      <c r="L24" s="12" t="n">
        <v>6420.94</v>
      </c>
      <c r="M24" s="12" t="n">
        <v>6591.23</v>
      </c>
      <c r="N24" s="12" t="n">
        <v>170.29</v>
      </c>
      <c r="O24" s="13" t="n">
        <v>0.0265210389756017</v>
      </c>
    </row>
    <row r="25">
      <c r="A25" s="5" t="n">
        <v>46316</v>
      </c>
      <c r="B25" s="6" t="n">
        <v>0.4405555555555555</v>
      </c>
      <c r="C25" s="36" t="inlineStr">
        <is>
          <t>Merkez Bankası</t>
        </is>
      </c>
      <c r="D25" s="8" t="n">
        <v>49.4889</v>
      </c>
      <c r="E25" s="8" t="n">
        <v>49.578</v>
      </c>
      <c r="F25" s="8" t="n">
        <v>0.0891</v>
      </c>
      <c r="G25" s="9" t="n">
        <v>0.001800403726896334</v>
      </c>
      <c r="H25" s="10" t="n">
        <v>55.5191</v>
      </c>
      <c r="I25" s="10" t="n">
        <v>55.6191</v>
      </c>
      <c r="J25" s="10" t="n">
        <v>0.1</v>
      </c>
      <c r="K25" s="11" t="n">
        <v>0.001801181935586132</v>
      </c>
      <c r="L25" s="12" t="n"/>
      <c r="M25" s="12" t="n"/>
      <c r="N25" s="12" t="n"/>
      <c r="O25" s="13" t="n"/>
    </row>
    <row r="26">
      <c r="A26" s="5" t="n">
        <v>46316</v>
      </c>
      <c r="B26" s="6" t="n">
        <v>0.4405555555555555</v>
      </c>
      <c r="C26" s="37" t="inlineStr">
        <is>
          <t>Misyon Bank</t>
        </is>
      </c>
      <c r="D26" s="8" t="n">
        <v>49.5107</v>
      </c>
      <c r="E26" s="8" t="n">
        <v>49.6003</v>
      </c>
      <c r="F26" s="8" t="n">
        <v>0.0896</v>
      </c>
      <c r="G26" s="9" t="n">
        <v>0.00180970982030147</v>
      </c>
      <c r="H26" s="10" t="n">
        <v>55.5412</v>
      </c>
      <c r="I26" s="10" t="n">
        <v>55.6857</v>
      </c>
      <c r="J26" s="10" t="n">
        <v>0.1445</v>
      </c>
      <c r="K26" s="11" t="n">
        <v>0.002601672272115115</v>
      </c>
      <c r="L26" s="12" t="n">
        <v>6514.59</v>
      </c>
      <c r="M26" s="12" t="n">
        <v>6547.71</v>
      </c>
      <c r="N26" s="12" t="n">
        <v>33.12</v>
      </c>
      <c r="O26" s="13" t="n">
        <v>0.00508397305125879</v>
      </c>
    </row>
    <row r="27">
      <c r="A27" s="5" t="n">
        <v>46316</v>
      </c>
      <c r="B27" s="6" t="n">
        <v>0.4405555555555555</v>
      </c>
      <c r="C27" s="38" t="inlineStr">
        <is>
          <t>Odacı</t>
        </is>
      </c>
      <c r="D27" s="8" t="n">
        <v>49.566</v>
      </c>
      <c r="E27" s="8" t="n">
        <v>49.702</v>
      </c>
      <c r="F27" s="8" t="n">
        <v>0.136</v>
      </c>
      <c r="G27" s="9" t="n">
        <v>0.002743816325707138</v>
      </c>
      <c r="H27" s="10" t="n">
        <v>55.501</v>
      </c>
      <c r="I27" s="10" t="n">
        <v>55.705</v>
      </c>
      <c r="J27" s="10" t="n">
        <v>0.204</v>
      </c>
      <c r="K27" s="11" t="n">
        <v>0.003675609448478406</v>
      </c>
      <c r="L27" s="12" t="n">
        <v>6543</v>
      </c>
      <c r="M27" s="12" t="n">
        <v>6585</v>
      </c>
      <c r="N27" s="12" t="n">
        <v>42</v>
      </c>
      <c r="O27" s="13" t="n">
        <v>0.006419073819348923</v>
      </c>
    </row>
    <row r="28">
      <c r="A28" s="5" t="n">
        <v>46316</v>
      </c>
      <c r="B28" s="6" t="n">
        <v>0.4405555555555555</v>
      </c>
      <c r="C28" s="39" t="inlineStr">
        <is>
          <t>Odeabank</t>
        </is>
      </c>
      <c r="D28" s="8" t="n">
        <v>49.065</v>
      </c>
      <c r="E28" s="8" t="n">
        <v>50.065</v>
      </c>
      <c r="F28" s="8" t="n">
        <v>1</v>
      </c>
      <c r="G28" s="9" t="n">
        <v>0.02038112707632732</v>
      </c>
      <c r="H28" s="10" t="n">
        <v>55.077</v>
      </c>
      <c r="I28" s="10" t="n">
        <v>56.167</v>
      </c>
      <c r="J28" s="10" t="n">
        <v>1.09</v>
      </c>
      <c r="K28" s="11" t="n">
        <v>0.01979047515296766</v>
      </c>
      <c r="L28" s="12" t="n">
        <v>6520.95</v>
      </c>
      <c r="M28" s="12" t="n">
        <v>6620.95</v>
      </c>
      <c r="N28" s="12" t="n">
        <v>100</v>
      </c>
      <c r="O28" s="13" t="n">
        <v>0.01533518889118917</v>
      </c>
    </row>
    <row r="29">
      <c r="A29" s="5" t="n">
        <v>46316</v>
      </c>
      <c r="B29" s="6" t="n">
        <v>0.4405555555555555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6424.49</v>
      </c>
      <c r="M29" s="12" t="n">
        <v>6600.97</v>
      </c>
      <c r="N29" s="12" t="n">
        <v>176.48</v>
      </c>
      <c r="O29" s="13" t="n">
        <v>0.02746988476906338</v>
      </c>
    </row>
    <row r="30">
      <c r="A30" s="5" t="n">
        <v>46316</v>
      </c>
      <c r="B30" s="6" t="n">
        <v>0.4405555555555555</v>
      </c>
      <c r="C30" s="41" t="inlineStr">
        <is>
          <t>QNB Finansbank</t>
        </is>
      </c>
      <c r="D30" s="8" t="n">
        <v>48.8425</v>
      </c>
      <c r="E30" s="8" t="n">
        <v>50.3625</v>
      </c>
      <c r="F30" s="8" t="n">
        <v>1.52</v>
      </c>
      <c r="G30" s="9" t="n">
        <v>0.0311204381430107</v>
      </c>
      <c r="H30" s="10" t="n">
        <v>54.6911</v>
      </c>
      <c r="I30" s="10" t="n">
        <v>56.6556</v>
      </c>
      <c r="J30" s="10" t="n">
        <v>1.9645</v>
      </c>
      <c r="K30" s="11" t="n">
        <v>0.03591992115719011</v>
      </c>
      <c r="L30" s="12" t="n">
        <v>6425.03</v>
      </c>
      <c r="M30" s="12" t="n">
        <v>6653.51</v>
      </c>
      <c r="N30" s="12" t="n">
        <v>228.48</v>
      </c>
      <c r="O30" s="13" t="n">
        <v>0.03556092345094108</v>
      </c>
    </row>
    <row r="31">
      <c r="A31" s="5" t="n">
        <v>46316</v>
      </c>
      <c r="B31" s="6" t="n">
        <v>0.4405555555555555</v>
      </c>
      <c r="C31" s="42" t="inlineStr">
        <is>
          <t>TOM Bank Hadi</t>
        </is>
      </c>
      <c r="D31" s="8" t="n">
        <v>49.4466</v>
      </c>
      <c r="E31" s="8" t="n">
        <v>49.7441</v>
      </c>
      <c r="F31" s="8" t="n">
        <v>0.2975</v>
      </c>
      <c r="G31" s="9" t="n">
        <v>0.006016591636229791</v>
      </c>
      <c r="H31" s="10" t="n">
        <v>55.4395</v>
      </c>
      <c r="I31" s="10" t="n">
        <v>55.7734</v>
      </c>
      <c r="J31" s="10" t="n">
        <v>0.3339</v>
      </c>
      <c r="K31" s="11" t="n">
        <v>0.006022781590743063</v>
      </c>
      <c r="L31" s="12" t="n">
        <v>6517.62</v>
      </c>
      <c r="M31" s="12" t="n">
        <v>6563.38</v>
      </c>
      <c r="N31" s="12" t="n">
        <v>45.76</v>
      </c>
      <c r="O31" s="13" t="n">
        <v>0.007020967776581022</v>
      </c>
    </row>
    <row r="32">
      <c r="A32" s="5" t="n">
        <v>46316</v>
      </c>
      <c r="B32" s="6" t="n">
        <v>0.4405555555555555</v>
      </c>
      <c r="C32" s="43" t="inlineStr">
        <is>
          <t>Türkiye Finans</t>
        </is>
      </c>
      <c r="D32" s="8" t="n">
        <v>49.1552</v>
      </c>
      <c r="E32" s="8" t="n">
        <v>49.9583</v>
      </c>
      <c r="F32" s="8" t="n">
        <v>0.8031</v>
      </c>
      <c r="G32" s="9" t="n">
        <v>0.01633804765314758</v>
      </c>
      <c r="H32" s="10" t="n">
        <v>55.1993</v>
      </c>
      <c r="I32" s="10" t="n">
        <v>56.0511</v>
      </c>
      <c r="J32" s="10" t="n">
        <v>0.8518</v>
      </c>
      <c r="K32" s="11" t="n">
        <v>0.01543135510776405</v>
      </c>
      <c r="L32" s="12" t="n">
        <v>6472.23</v>
      </c>
      <c r="M32" s="12" t="n">
        <v>6668.52</v>
      </c>
      <c r="N32" s="12" t="n">
        <v>196.29</v>
      </c>
      <c r="O32" s="13" t="n">
        <v>0.03032803222382394</v>
      </c>
    </row>
    <row r="33">
      <c r="A33" s="5" t="n">
        <v>46316</v>
      </c>
      <c r="B33" s="6" t="n">
        <v>0.4405555555555555</v>
      </c>
      <c r="C33" s="44" t="inlineStr">
        <is>
          <t>Vakıf Katılım</t>
        </is>
      </c>
      <c r="D33" s="8" t="n">
        <v>49.4561</v>
      </c>
      <c r="E33" s="8" t="n">
        <v>49.6648</v>
      </c>
      <c r="F33" s="8" t="n">
        <v>0.2087</v>
      </c>
      <c r="G33" s="9" t="n">
        <v>0.004219904116984558</v>
      </c>
      <c r="H33" s="10" t="n">
        <v>55.4959</v>
      </c>
      <c r="I33" s="10" t="n">
        <v>55.7195</v>
      </c>
      <c r="J33" s="10" t="n">
        <v>0.2236</v>
      </c>
      <c r="K33" s="11" t="n">
        <v>0.004029126476009939</v>
      </c>
      <c r="L33" s="12" t="n">
        <v>6506.77</v>
      </c>
      <c r="M33" s="12" t="n">
        <v>6559.04</v>
      </c>
      <c r="N33" s="12" t="n">
        <v>52.27</v>
      </c>
      <c r="O33" s="13" t="n">
        <v>0.008033171604344398</v>
      </c>
    </row>
    <row r="34">
      <c r="A34" s="5" t="n">
        <v>46316</v>
      </c>
      <c r="B34" s="6" t="n">
        <v>0.4405555555555555</v>
      </c>
      <c r="C34" s="45" t="inlineStr">
        <is>
          <t>Vakıfbank</t>
        </is>
      </c>
      <c r="D34" s="8" t="n">
        <v>49.2019</v>
      </c>
      <c r="E34" s="8" t="n">
        <v>50.1909</v>
      </c>
      <c r="F34" s="8" t="n">
        <v>0.989</v>
      </c>
      <c r="G34" s="9" t="n">
        <v>0.02010084976393188</v>
      </c>
      <c r="H34" s="10" t="n">
        <v>55.1977</v>
      </c>
      <c r="I34" s="10" t="n">
        <v>56.2846</v>
      </c>
      <c r="J34" s="10" t="n">
        <v>1.0869</v>
      </c>
      <c r="K34" s="11" t="n">
        <v>0.01969103785121482</v>
      </c>
      <c r="L34" s="12" t="n">
        <v>6472.11</v>
      </c>
      <c r="M34" s="12" t="n">
        <v>6614.71</v>
      </c>
      <c r="N34" s="12" t="n">
        <v>142.6</v>
      </c>
      <c r="O34" s="13" t="n">
        <v>0.02203300005716837</v>
      </c>
    </row>
    <row r="35">
      <c r="A35" s="5" t="n">
        <v>46316</v>
      </c>
      <c r="B35" s="6" t="n">
        <v>0.4405555555555555</v>
      </c>
      <c r="C35" s="46" t="inlineStr">
        <is>
          <t>Venüs</t>
        </is>
      </c>
      <c r="D35" s="8" t="n">
        <v>49.57</v>
      </c>
      <c r="E35" s="8" t="n">
        <v>49.641</v>
      </c>
      <c r="F35" s="8" t="n">
        <v>0.07099999999999999</v>
      </c>
      <c r="G35" s="9" t="n">
        <v>0.001432317934234416</v>
      </c>
      <c r="H35" s="10" t="n">
        <v>55.508</v>
      </c>
      <c r="I35" s="10" t="n">
        <v>55.657</v>
      </c>
      <c r="J35" s="10" t="n">
        <v>0.149</v>
      </c>
      <c r="K35" s="11" t="n">
        <v>0.002684297758881603</v>
      </c>
      <c r="L35" s="12" t="n"/>
      <c r="M35" s="12" t="n"/>
      <c r="N35" s="12" t="n"/>
      <c r="O35" s="13" t="n"/>
    </row>
    <row r="36">
      <c r="A36" s="5" t="n">
        <v>46316</v>
      </c>
      <c r="B36" s="6" t="n">
        <v>0.4405555555555555</v>
      </c>
      <c r="C36" s="47" t="inlineStr">
        <is>
          <t>Yapıkredi</t>
        </is>
      </c>
      <c r="D36" s="8" t="n">
        <v>49.06</v>
      </c>
      <c r="E36" s="8" t="n">
        <v>50.06</v>
      </c>
      <c r="F36" s="8" t="n">
        <v>1</v>
      </c>
      <c r="G36" s="9" t="n">
        <v>0.02038320423970648</v>
      </c>
      <c r="H36" s="10" t="n">
        <v>55.06</v>
      </c>
      <c r="I36" s="10" t="n">
        <v>56.18</v>
      </c>
      <c r="J36" s="10" t="n">
        <v>1.12</v>
      </c>
      <c r="K36" s="11" t="n">
        <v>0.0203414456956048</v>
      </c>
      <c r="L36" s="12" t="n">
        <v>6464.1</v>
      </c>
      <c r="M36" s="12" t="n">
        <v>6664.66</v>
      </c>
      <c r="N36" s="12" t="n">
        <v>200.56</v>
      </c>
      <c r="O36" s="13" t="n">
        <v>0.03102674772976903</v>
      </c>
    </row>
    <row r="37">
      <c r="A37" s="5" t="n">
        <v>46316</v>
      </c>
      <c r="B37" s="6" t="n">
        <v>0.4405555555555555</v>
      </c>
      <c r="C37" s="48" t="inlineStr">
        <is>
          <t>Ziraat Bankası</t>
        </is>
      </c>
      <c r="D37" s="8" t="n">
        <v>49.1849</v>
      </c>
      <c r="E37" s="8" t="n">
        <v>50.18</v>
      </c>
      <c r="F37" s="8" t="n">
        <v>0.9951</v>
      </c>
      <c r="G37" s="9" t="n">
        <v>0.02023181911521625</v>
      </c>
      <c r="H37" s="10" t="n">
        <v>55.1915</v>
      </c>
      <c r="I37" s="10" t="n">
        <v>56.308</v>
      </c>
      <c r="J37" s="10" t="n">
        <v>1.1165</v>
      </c>
      <c r="K37" s="11" t="n">
        <v>0.02022956433508783</v>
      </c>
      <c r="L37" s="12" t="n">
        <v>6507.92</v>
      </c>
      <c r="M37" s="12" t="n">
        <v>6639.32</v>
      </c>
      <c r="N37" s="12" t="n">
        <v>131.4</v>
      </c>
      <c r="O37" s="13" t="n">
        <v>0.02019078292296156</v>
      </c>
    </row>
    <row r="38">
      <c r="A38" s="5" t="n">
        <v>46316</v>
      </c>
      <c r="B38" s="6" t="n">
        <v>0.4405555555555555</v>
      </c>
      <c r="C38" s="49" t="inlineStr">
        <is>
          <t>Ziraat Dinamik</t>
        </is>
      </c>
      <c r="D38" s="8" t="n">
        <v>49.2343</v>
      </c>
      <c r="E38" s="8" t="n">
        <v>49.9042</v>
      </c>
      <c r="F38" s="8" t="n">
        <v>0.6699000000000001</v>
      </c>
      <c r="G38" s="9" t="n">
        <v>0.01360636791830086</v>
      </c>
      <c r="H38" s="10" t="n">
        <v>55.1898</v>
      </c>
      <c r="I38" s="10" t="n">
        <v>55.9966</v>
      </c>
      <c r="J38" s="10" t="n">
        <v>0.8068</v>
      </c>
      <c r="K38" s="11" t="n">
        <v>0.01461864330003008</v>
      </c>
      <c r="L38" s="12" t="n">
        <v>6475.62</v>
      </c>
      <c r="M38" s="12" t="n">
        <v>6606.37</v>
      </c>
      <c r="N38" s="12" t="n">
        <v>130.75</v>
      </c>
      <c r="O38" s="13" t="n">
        <v>0.02019111683514474</v>
      </c>
    </row>
    <row r="39">
      <c r="A39" s="5" t="n">
        <v>46316</v>
      </c>
      <c r="B39" s="6" t="n">
        <v>0.4405555555555555</v>
      </c>
      <c r="C39" s="50" t="inlineStr">
        <is>
          <t>Ziraat Katılım</t>
        </is>
      </c>
      <c r="D39" s="8" t="n">
        <v>49.0595</v>
      </c>
      <c r="E39" s="8" t="n">
        <v>50.0834</v>
      </c>
      <c r="F39" s="8" t="n">
        <v>1.0239</v>
      </c>
      <c r="G39" s="9" t="n">
        <v>0.02087057552563724</v>
      </c>
      <c r="H39" s="10" t="n">
        <v>55.0192</v>
      </c>
      <c r="I39" s="10" t="n">
        <v>56.2231</v>
      </c>
      <c r="J39" s="10" t="n">
        <v>1.2039</v>
      </c>
      <c r="K39" s="11" t="n">
        <v>0.02188145229301771</v>
      </c>
      <c r="L39" s="12" t="n">
        <v>6495.41</v>
      </c>
      <c r="M39" s="12" t="n">
        <v>6701.51</v>
      </c>
      <c r="N39" s="12" t="n">
        <v>206.1</v>
      </c>
      <c r="O39" s="13" t="n">
        <v>0.031730098638885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</hyperlinks>
  <pageMargins left="0.75" right="0.75" top="1" bottom="1" header="0.5" footer="0.5"/>
  <tableParts count="1">
    <tablePart xmlns:r="http://schemas.openxmlformats.org/officeDocument/2006/relationships" r:id="rId593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46316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0.4405555555555555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0.02023181911521625</v>
      </c>
      <c r="O5" s="73" t="inlineStr">
        <is>
          <t>Ziraat Bankası</t>
        </is>
      </c>
      <c r="P5" s="74" t="n">
        <v>49.1849</v>
      </c>
      <c r="Q5" s="74" t="n">
        <v>50.18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0.02022956433508783</v>
      </c>
      <c r="O6" s="73" t="inlineStr">
        <is>
          <t>Ziraat Bankası</t>
        </is>
      </c>
      <c r="P6" s="74" t="n">
        <v>55.1915</v>
      </c>
      <c r="Q6" s="74" t="n">
        <v>56.308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0.02019078292296156</v>
      </c>
      <c r="O7" s="73" t="inlineStr">
        <is>
          <t>Ziraat Bankası</t>
        </is>
      </c>
      <c r="P7" s="74" t="n">
        <v>6507.92</v>
      </c>
      <c r="Q7" s="74" t="n">
        <v>6639.32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2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0.03177785566586745</v>
      </c>
      <c r="I15" s="69" t="n">
        <v>0.03177614098946672</v>
      </c>
      <c r="J15" s="70" t="n">
        <v>0.04312445501975971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0.03599856722043954</v>
      </c>
      <c r="I16" s="69" t="n">
        <v>0.03606721649166977</v>
      </c>
      <c r="J16" s="70" t="n">
        <v>0.04906388614290783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0.03064704846647623</v>
      </c>
      <c r="I17" s="69" t="n">
        <v>0.02937756593115857</v>
      </c>
      <c r="J17" s="70" t="n">
        <v>0.04581498703699882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0.03184446394130204</v>
      </c>
      <c r="I18" s="69" t="n">
        <v>0.03184464449101825</v>
      </c>
      <c r="J18" s="70" t="n">
        <v>0.05576208013189275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0.03326766065699521</v>
      </c>
      <c r="I19" s="69" t="n">
        <v>0.03338602684917919</v>
      </c>
      <c r="J19" s="70" t="n">
        <v>0.05766457187759807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0.03177785566586745</v>
      </c>
      <c r="V4" s="55" t="n">
        <v>0.03599856722043954</v>
      </c>
      <c r="W4" s="55" t="n">
        <v>0.03064704846647623</v>
      </c>
      <c r="X4" s="55" t="n">
        <v>0.03184446394130204</v>
      </c>
      <c r="Y4" s="55" t="n">
        <v>0.03326766065699521</v>
      </c>
      <c r="Z4" s="55" t="n">
        <v>0.03177614098946672</v>
      </c>
      <c r="AA4" s="55" t="n">
        <v>0.03606721649166977</v>
      </c>
      <c r="AB4" s="55" t="n">
        <v>0.02937756593115857</v>
      </c>
      <c r="AC4" s="55" t="n">
        <v>0.03184464449101825</v>
      </c>
      <c r="AD4" s="55" t="n">
        <v>0.03338602684917919</v>
      </c>
      <c r="AE4" s="55" t="n">
        <v>0.04312445501975971</v>
      </c>
      <c r="AF4" s="55" t="n">
        <v>0.04906388614290783</v>
      </c>
      <c r="AG4" s="55" t="n">
        <v>0.04581498703699882</v>
      </c>
      <c r="AH4" s="55" t="n">
        <v>0.05576208013189275</v>
      </c>
      <c r="AI4" s="55" t="n">
        <v>0.05766457187759807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2026-10-21T07:35:07Z</dcterms:created>
  <dcterms:modified xsi:type="dcterms:W3CDTF">2026-10-21T07:35:08Z</dcterms:modified>
</cp:coreProperties>
</file>