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'GRAFIK_VERILERI'!$B$2:$B$47</f>
              <numCache>
                <formatCode>0.00%</formatCode>
                <ptCount val="4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'GRAFIK_VERILERI'!$C$2:$C$47</f>
              <numCache>
                <formatCode>0.00%</formatCode>
                <ptCount val="4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'GRAFIK_VERILERI'!$D$2:$D$47</f>
              <numCache>
                <formatCode>0.00%</formatCode>
                <ptCount val="4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'GRAFIK_VERILERI'!$E$2:$E$47</f>
              <numCache>
                <formatCode>0.00%</formatCode>
                <ptCount val="4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'GRAFIK_VERILERI'!$F$2:$F$47</f>
              <numCache>
                <formatCode>0.00%</formatCode>
                <ptCount val="4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'GRAFIK_VERILERI'!$G$2:$G$47</f>
              <numCache>
                <formatCode>0.00%</formatCode>
                <ptCount val="4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'GRAFIK_VERILERI'!$H$2:$H$47</f>
              <numCache>
                <formatCode>0.00%</formatCode>
                <ptCount val="4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'GRAFIK_VERILERI'!$I$2:$I$47</f>
              <numCache>
                <formatCode>0.00%</formatCode>
                <ptCount val="4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'GRAFIK_VERILERI'!$J$2:$J$47</f>
              <numCache>
                <formatCode>0.00%</formatCode>
                <ptCount val="4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'GRAFIK_VERILERI'!$K$2:$K$47</f>
              <numCache>
                <formatCode>0.00%</formatCode>
                <ptCount val="4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'GRAFIK_VERILERI'!$L$2:$L$47</f>
              <numCache>
                <formatCode>0.00%</formatCode>
                <ptCount val="4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'GRAFIK_VERILERI'!$M$2:$M$47</f>
              <numCache>
                <formatCode>0.00%</formatCode>
                <ptCount val="4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'GRAFIK_VERILERI'!$N$2:$N$47</f>
              <numCache>
                <formatCode>0.00%</formatCode>
                <ptCount val="4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'GRAFIK_VERILERI'!$O$2:$O$47</f>
              <numCache>
                <formatCode>0.00%</formatCode>
                <ptCount val="4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'GRAFIK_VERILERI'!$P$2:$P$47</f>
              <numCache>
                <formatCode>0.00%</formatCode>
                <ptCount val="4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0.03251569541876598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0.03745030755713052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0.03258257271830425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0.03377996698812256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0.03479886477050489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0.03251518843052077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0.03751998872567831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0.0311074801826575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0.03378059386904868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0.0349218687972534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0.04565770801774435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0.05149431536741569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0.04856031330700081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0.06169047964887556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0.06270667989617666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'GRAFIK_VERILERI'!$B$2:$B$47</f>
              <numCache>
                <formatCode>0.00%</formatCode>
                <ptCount val="4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8080990289684"/>
          <min val="0.0248987794986864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'GRAFIK_VERILERI'!$G$2:$G$47</f>
              <numCache>
                <formatCode>0.00%</formatCode>
                <ptCount val="4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858228218782"/>
          <min val="0.0249081548295464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'GRAFIK_VERILERI'!$L$2:$L$47</f>
              <numCache>
                <formatCode>0.00%</formatCode>
                <ptCount val="4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184735609747"/>
          <min val="0.0230035109754436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'GRAFIK_VERILERI'!$C$2:$C$47</f>
              <numCache>
                <formatCode>0.00%</formatCode>
                <ptCount val="4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3201445244094"/>
          <min val="0.0218254635986764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'GRAFIK_VERILERI'!$H$2:$H$47</f>
              <numCache>
                <formatCode>0.00%</formatCode>
                <ptCount val="4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6146720399464"/>
          <min val="0.0217694676149057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'GRAFIK_VERILERI'!$M$2:$M$47</f>
              <numCache>
                <formatCode>0.00%</formatCode>
                <ptCount val="4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8946599935811"/>
          <min val="0.0253802434266155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'GRAFIK_VERILERI'!$D$2:$D$47</f>
              <numCache>
                <formatCode>0.00%</formatCode>
                <ptCount val="4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'GRAFIK_VERILERI'!$I$2:$I$47</f>
              <numCache>
                <formatCode>0.00%</formatCode>
                <ptCount val="4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'GRAFIK_VERILERI'!$N$2:$N$47</f>
              <numCache>
                <formatCode>0.00%</formatCode>
                <ptCount val="4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'GRAFIK_VERILERI'!$E$2:$E$47</f>
              <numCache>
                <formatCode>0.00%</formatCode>
                <ptCount val="4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'GRAFIK_VERILERI'!$J$2:$J$47</f>
              <numCache>
                <formatCode>0.00%</formatCode>
                <ptCount val="4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'GRAFIK_VERILERI'!$O$2:$O$47</f>
              <numCache>
                <formatCode>0.00%</formatCode>
                <ptCount val="4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'GRAFIK_VERILERI'!$F$2:$F$47</f>
              <numCache>
                <formatCode>0.00%</formatCode>
                <ptCount val="4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'GRAFIK_VERILERI'!$K$2:$K$47</f>
              <numCache>
                <formatCode>0.00%</formatCode>
                <ptCount val="4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'GRAFIK_VERILERI'!$A$2:$A$47</f>
              <strCache>
                <ptCount val="4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</strCache>
            </strRef>
          </cat>
          <val>
            <numRef>
              <f>'GRAFIK_VERILERI'!$P$2:$P$47</f>
              <numCache>
                <formatCode>0.00%</formatCode>
                <ptCount val="4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3503603019"/>
          <min val="0.00624484319228385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4960" headerRowCount="1">
  <autoFilter ref="A1:N4960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table" Target="/xl/tables/table2.xml" Id="rId496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46307</v>
      </c>
      <c r="B2" s="6" t="n">
        <v>0.4280092592592593</v>
      </c>
      <c r="C2" s="7" t="inlineStr">
        <is>
          <t>Akbank</t>
        </is>
      </c>
      <c r="D2" s="8" t="n">
        <v>48.54</v>
      </c>
      <c r="E2" s="8" t="n">
        <v>49.89</v>
      </c>
      <c r="F2" s="8" t="n">
        <v>1.35</v>
      </c>
      <c r="G2" s="9" t="n">
        <v>0.02781211372064277</v>
      </c>
      <c r="H2" s="10" t="n">
        <v>54.3846</v>
      </c>
      <c r="I2" s="10" t="n">
        <v>55.8971</v>
      </c>
      <c r="J2" s="10" t="n">
        <v>1.5125</v>
      </c>
      <c r="K2" s="11" t="n">
        <v>0.02781118184191849</v>
      </c>
      <c r="L2" s="12" t="n">
        <v>6469.96</v>
      </c>
      <c r="M2" s="12" t="n">
        <v>6698.6</v>
      </c>
      <c r="N2" s="12" t="n">
        <v>228.64</v>
      </c>
      <c r="O2" s="13" t="n">
        <v>0.0353387037941502</v>
      </c>
    </row>
    <row r="3">
      <c r="A3" s="5" t="n">
        <v>46307</v>
      </c>
      <c r="B3" s="6" t="n">
        <v>0.4280092592592593</v>
      </c>
      <c r="C3" s="14" t="inlineStr">
        <is>
          <t>Albaraka Türk</t>
        </is>
      </c>
      <c r="D3" s="8" t="n">
        <v>48.867</v>
      </c>
      <c r="E3" s="8" t="n">
        <v>49.588</v>
      </c>
      <c r="F3" s="8" t="n">
        <v>0.721</v>
      </c>
      <c r="G3" s="9" t="n">
        <v>0.01475433319008738</v>
      </c>
      <c r="H3" s="10" t="n">
        <v>54.75</v>
      </c>
      <c r="I3" s="10" t="n">
        <v>55.569</v>
      </c>
      <c r="J3" s="10" t="n">
        <v>0.819</v>
      </c>
      <c r="K3" s="11" t="n">
        <v>0.01495890410958904</v>
      </c>
      <c r="L3" s="12" t="n">
        <v>6530.38</v>
      </c>
      <c r="M3" s="12" t="n">
        <v>6654.57</v>
      </c>
      <c r="N3" s="12" t="n">
        <v>124.19</v>
      </c>
      <c r="O3" s="13" t="n">
        <v>0.01901727005166621</v>
      </c>
    </row>
    <row r="4">
      <c r="A4" s="5" t="n">
        <v>46307</v>
      </c>
      <c r="B4" s="6" t="n">
        <v>0.4280092592592593</v>
      </c>
      <c r="C4" s="15" t="inlineStr">
        <is>
          <t>Alternatif Bank</t>
        </is>
      </c>
      <c r="D4" s="8" t="n">
        <v>49.121</v>
      </c>
      <c r="E4" s="8" t="n">
        <v>49.412</v>
      </c>
      <c r="F4" s="8" t="n">
        <v>0.291</v>
      </c>
      <c r="G4" s="9" t="n">
        <v>0.005924146495388938</v>
      </c>
      <c r="H4" s="10" t="n">
        <v>54.866</v>
      </c>
      <c r="I4" s="10" t="n">
        <v>55.364</v>
      </c>
      <c r="J4" s="10" t="n">
        <v>0.498</v>
      </c>
      <c r="K4" s="11" t="n">
        <v>0.009076659497685271</v>
      </c>
      <c r="L4" s="12" t="n">
        <v>6600.03</v>
      </c>
      <c r="M4" s="12" t="n">
        <v>6665.32</v>
      </c>
      <c r="N4" s="12" t="n">
        <v>65.29000000000001</v>
      </c>
      <c r="O4" s="13" t="n">
        <v>0.009892379277063892</v>
      </c>
    </row>
    <row r="5">
      <c r="A5" s="5" t="n">
        <v>46307</v>
      </c>
      <c r="B5" s="6" t="n">
        <v>0.4280092592592593</v>
      </c>
      <c r="C5" s="16" t="inlineStr">
        <is>
          <t>Altınkaynak</t>
        </is>
      </c>
      <c r="D5" s="8" t="n">
        <v>49.141</v>
      </c>
      <c r="E5" s="8" t="n">
        <v>49.322</v>
      </c>
      <c r="F5" s="8" t="n">
        <v>0.181</v>
      </c>
      <c r="G5" s="9" t="n">
        <v>0.003683278728556603</v>
      </c>
      <c r="H5" s="10" t="n">
        <v>54.937</v>
      </c>
      <c r="I5" s="10" t="n">
        <v>55.26</v>
      </c>
      <c r="J5" s="10" t="n">
        <v>0.323</v>
      </c>
      <c r="K5" s="11" t="n">
        <v>0.005879461929118809</v>
      </c>
      <c r="L5" s="12" t="n">
        <v>6565</v>
      </c>
      <c r="M5" s="12" t="n">
        <v>6705</v>
      </c>
      <c r="N5" s="12" t="n">
        <v>140</v>
      </c>
      <c r="O5" s="13" t="n">
        <v>0.02132520944402132</v>
      </c>
    </row>
    <row r="6">
      <c r="A6" s="5" t="n">
        <v>46307</v>
      </c>
      <c r="B6" s="6" t="n">
        <v>0.4280092592592593</v>
      </c>
      <c r="C6" s="17" t="inlineStr">
        <is>
          <t>Anadolubank</t>
        </is>
      </c>
      <c r="D6" s="8" t="n">
        <v>48.4913</v>
      </c>
      <c r="E6" s="8" t="n">
        <v>49.769</v>
      </c>
      <c r="F6" s="8" t="n">
        <v>1.2777</v>
      </c>
      <c r="G6" s="9" t="n">
        <v>0.02634905642867896</v>
      </c>
      <c r="H6" s="10" t="n">
        <v>54.403</v>
      </c>
      <c r="I6" s="10" t="n">
        <v>55.7696</v>
      </c>
      <c r="J6" s="10" t="n">
        <v>1.3666</v>
      </c>
      <c r="K6" s="11" t="n">
        <v>0.02511993823870007</v>
      </c>
      <c r="L6" s="12" t="n">
        <v>6520.33</v>
      </c>
      <c r="M6" s="12" t="n">
        <v>6671.31</v>
      </c>
      <c r="N6" s="12" t="n">
        <v>150.98</v>
      </c>
      <c r="O6" s="13" t="n">
        <v>0.02315526974861702</v>
      </c>
    </row>
    <row r="7">
      <c r="A7" s="5" t="n">
        <v>46307</v>
      </c>
      <c r="B7" s="6" t="n">
        <v>0.4280092592592593</v>
      </c>
      <c r="C7" s="18" t="inlineStr">
        <is>
          <t>CEPTETEB</t>
        </is>
      </c>
      <c r="D7" s="8" t="n">
        <v>48.321</v>
      </c>
      <c r="E7" s="8" t="n">
        <v>50.284</v>
      </c>
      <c r="F7" s="8" t="n">
        <v>1.963</v>
      </c>
      <c r="G7" s="9" t="n">
        <v>0.04062415926822707</v>
      </c>
      <c r="H7" s="10" t="n">
        <v>54.138</v>
      </c>
      <c r="I7" s="10" t="n">
        <v>56.348</v>
      </c>
      <c r="J7" s="10" t="n">
        <v>2.21</v>
      </c>
      <c r="K7" s="11" t="n">
        <v>0.04082160404891204</v>
      </c>
      <c r="L7" s="12" t="n">
        <v>6514.89</v>
      </c>
      <c r="M7" s="12" t="n">
        <v>6713.09</v>
      </c>
      <c r="N7" s="12" t="n">
        <v>198.2</v>
      </c>
      <c r="O7" s="13" t="n">
        <v>0.03042261649851341</v>
      </c>
    </row>
    <row r="8">
      <c r="A8" s="5" t="n">
        <v>46307</v>
      </c>
      <c r="B8" s="6" t="n">
        <v>0.4280092592592593</v>
      </c>
      <c r="C8" s="19" t="inlineStr">
        <is>
          <t>Denizbank</t>
        </is>
      </c>
      <c r="D8" s="8" t="n">
        <v>48.5937</v>
      </c>
      <c r="E8" s="8" t="n">
        <v>49.9938</v>
      </c>
      <c r="F8" s="8" t="n">
        <v>1.4001</v>
      </c>
      <c r="G8" s="9" t="n">
        <v>0.02881237691305663</v>
      </c>
      <c r="H8" s="10" t="n">
        <v>54.4438</v>
      </c>
      <c r="I8" s="10" t="n">
        <v>56.0175</v>
      </c>
      <c r="J8" s="10" t="n">
        <v>1.5737</v>
      </c>
      <c r="K8" s="11" t="n">
        <v>0.02890503601879369</v>
      </c>
      <c r="L8" s="12" t="n">
        <v>6536.87</v>
      </c>
      <c r="M8" s="12" t="n">
        <v>6726.22</v>
      </c>
      <c r="N8" s="12" t="n">
        <v>189.35</v>
      </c>
      <c r="O8" s="13" t="n">
        <v>0.02896646254247063</v>
      </c>
    </row>
    <row r="9">
      <c r="A9" s="5" t="n">
        <v>46307</v>
      </c>
      <c r="B9" s="6" t="n">
        <v>0.4280092592592593</v>
      </c>
      <c r="C9" s="20" t="inlineStr">
        <is>
          <t>DestekBank</t>
        </is>
      </c>
      <c r="D9" s="8" t="n">
        <v>49.2254</v>
      </c>
      <c r="E9" s="8" t="n">
        <v>49.359</v>
      </c>
      <c r="F9" s="8" t="n">
        <v>0.1336</v>
      </c>
      <c r="G9" s="9" t="n">
        <v>0.002714046000641945</v>
      </c>
      <c r="H9" s="10" t="n">
        <v>55.1373</v>
      </c>
      <c r="I9" s="10" t="n">
        <v>55.3118</v>
      </c>
      <c r="J9" s="10" t="n">
        <v>0.1745</v>
      </c>
      <c r="K9" s="11" t="n">
        <v>0.003164826714402047</v>
      </c>
      <c r="L9" s="12" t="n">
        <v>6531.13</v>
      </c>
      <c r="M9" s="12" t="n">
        <v>6662.62</v>
      </c>
      <c r="N9" s="12" t="n">
        <v>131.49</v>
      </c>
      <c r="O9" s="13" t="n">
        <v>0.0201328100956496</v>
      </c>
    </row>
    <row r="10">
      <c r="A10" s="5" t="n">
        <v>46307</v>
      </c>
      <c r="B10" s="6" t="n">
        <v>0.4280092592592593</v>
      </c>
      <c r="C10" s="21" t="inlineStr">
        <is>
          <t>Dünya Katılım</t>
        </is>
      </c>
      <c r="D10" s="8" t="n">
        <v>49.2471</v>
      </c>
      <c r="E10" s="8" t="n">
        <v>49.3385</v>
      </c>
      <c r="F10" s="8" t="n">
        <v>0.0914</v>
      </c>
      <c r="G10" s="9" t="n">
        <v>0.001855946847631637</v>
      </c>
      <c r="H10" s="10" t="n">
        <v>55.1163</v>
      </c>
      <c r="I10" s="10" t="n">
        <v>55.3125</v>
      </c>
      <c r="J10" s="10" t="n">
        <v>0.1962</v>
      </c>
      <c r="K10" s="11" t="n">
        <v>0.003559745483640955</v>
      </c>
      <c r="L10" s="12" t="n">
        <v>6579.51</v>
      </c>
      <c r="M10" s="12" t="n">
        <v>6614.12</v>
      </c>
      <c r="N10" s="12" t="n">
        <v>34.61</v>
      </c>
      <c r="O10" s="13" t="n">
        <v>0.005260270141697482</v>
      </c>
    </row>
    <row r="11">
      <c r="A11" s="5" t="n">
        <v>46307</v>
      </c>
      <c r="B11" s="6" t="n">
        <v>0.4280092592592593</v>
      </c>
      <c r="C11" s="22" t="inlineStr">
        <is>
          <t>Emlak Katılım</t>
        </is>
      </c>
      <c r="D11" s="8" t="n">
        <v>49.001</v>
      </c>
      <c r="E11" s="8" t="n">
        <v>50.2659</v>
      </c>
      <c r="F11" s="8" t="n">
        <v>1.2649</v>
      </c>
      <c r="G11" s="9" t="n">
        <v>0.02581375890287953</v>
      </c>
      <c r="H11" s="10" t="n">
        <v>54.7544</v>
      </c>
      <c r="I11" s="10" t="n">
        <v>56.02</v>
      </c>
      <c r="J11" s="10" t="n">
        <v>1.2656</v>
      </c>
      <c r="K11" s="11" t="n">
        <v>0.0231141241617112</v>
      </c>
      <c r="L11" s="12" t="n">
        <v>6554.58</v>
      </c>
      <c r="M11" s="12" t="n">
        <v>6630.02</v>
      </c>
      <c r="N11" s="12" t="n">
        <v>75.44</v>
      </c>
      <c r="O11" s="13" t="n">
        <v>0.01150950938122656</v>
      </c>
    </row>
    <row r="12">
      <c r="A12" s="5" t="n">
        <v>46307</v>
      </c>
      <c r="B12" s="6" t="n">
        <v>0.4280092592592593</v>
      </c>
      <c r="C12" s="23" t="inlineStr">
        <is>
          <t>Enpara</t>
        </is>
      </c>
      <c r="D12" s="8" t="n">
        <v>48.787</v>
      </c>
      <c r="E12" s="8" t="n">
        <v>49.587</v>
      </c>
      <c r="F12" s="8" t="n">
        <v>0.8</v>
      </c>
      <c r="G12" s="9" t="n">
        <v>0.01639781089224589</v>
      </c>
      <c r="H12" s="10" t="n">
        <v>54.6063</v>
      </c>
      <c r="I12" s="10" t="n">
        <v>55.6228</v>
      </c>
      <c r="J12" s="10" t="n">
        <v>1.0165</v>
      </c>
      <c r="K12" s="11" t="n">
        <v>0.01861506822472865</v>
      </c>
      <c r="L12" s="12" t="n">
        <v>6523.7</v>
      </c>
      <c r="M12" s="12" t="n">
        <v>6653.16</v>
      </c>
      <c r="N12" s="12" t="n">
        <v>129.46</v>
      </c>
      <c r="O12" s="13" t="n">
        <v>0.0198445667336021</v>
      </c>
    </row>
    <row r="13">
      <c r="A13" s="5" t="n">
        <v>46307</v>
      </c>
      <c r="B13" s="6" t="n">
        <v>0.4280092592592593</v>
      </c>
      <c r="C13" s="24" t="inlineStr">
        <is>
          <t>Fibabanka</t>
        </is>
      </c>
      <c r="D13" s="8" t="n">
        <v>49.0374</v>
      </c>
      <c r="E13" s="8" t="n">
        <v>49.6444</v>
      </c>
      <c r="F13" s="8" t="n">
        <v>0.607</v>
      </c>
      <c r="G13" s="9" t="n">
        <v>0.01237830716962971</v>
      </c>
      <c r="H13" s="10" t="n">
        <v>54.9517</v>
      </c>
      <c r="I13" s="10" t="n">
        <v>55.6124</v>
      </c>
      <c r="J13" s="10" t="n">
        <v>0.6607</v>
      </c>
      <c r="K13" s="11" t="n">
        <v>0.01202328590380279</v>
      </c>
      <c r="L13" s="12" t="n">
        <v>6606.16</v>
      </c>
      <c r="M13" s="12" t="n">
        <v>6660.28</v>
      </c>
      <c r="N13" s="12" t="n">
        <v>54.12</v>
      </c>
      <c r="O13" s="13" t="n">
        <v>0.008192353803117091</v>
      </c>
    </row>
    <row r="14">
      <c r="A14" s="5" t="n">
        <v>46307</v>
      </c>
      <c r="B14" s="6" t="n">
        <v>0.4280092592592593</v>
      </c>
      <c r="C14" s="25" t="inlineStr">
        <is>
          <t>Garanti BBVA</t>
        </is>
      </c>
      <c r="D14" s="8" t="n">
        <v>48.493</v>
      </c>
      <c r="E14" s="8" t="n">
        <v>49.843</v>
      </c>
      <c r="F14" s="8" t="n">
        <v>1.35</v>
      </c>
      <c r="G14" s="9" t="n">
        <v>0.02783906955643083</v>
      </c>
      <c r="H14" s="10" t="n">
        <v>54.331</v>
      </c>
      <c r="I14" s="10" t="n">
        <v>55.844</v>
      </c>
      <c r="J14" s="10" t="n">
        <v>1.513</v>
      </c>
      <c r="K14" s="11" t="n">
        <v>0.02784782168559386</v>
      </c>
      <c r="L14" s="12" t="n">
        <v>6536.95</v>
      </c>
      <c r="M14" s="12" t="n">
        <v>6739.29</v>
      </c>
      <c r="N14" s="12" t="n">
        <v>202.34</v>
      </c>
      <c r="O14" s="13" t="n">
        <v>0.03095327331553707</v>
      </c>
    </row>
    <row r="15">
      <c r="A15" s="5" t="n">
        <v>46307</v>
      </c>
      <c r="B15" s="6" t="n">
        <v>0.4280092592592593</v>
      </c>
      <c r="C15" s="26" t="inlineStr">
        <is>
          <t>Getirfinans</t>
        </is>
      </c>
      <c r="D15" s="8" t="n">
        <v>49.0375</v>
      </c>
      <c r="E15" s="8" t="n">
        <v>49.6445</v>
      </c>
      <c r="F15" s="8" t="n">
        <v>0.607</v>
      </c>
      <c r="G15" s="9" t="n">
        <v>0.01237828192709661</v>
      </c>
      <c r="H15" s="10" t="n">
        <v>54.9513</v>
      </c>
      <c r="I15" s="10" t="n">
        <v>55.6115</v>
      </c>
      <c r="J15" s="10" t="n">
        <v>0.6602</v>
      </c>
      <c r="K15" s="11" t="n">
        <v>0.01201427445756515</v>
      </c>
      <c r="L15" s="12" t="n">
        <v>6605.24</v>
      </c>
      <c r="M15" s="12" t="n">
        <v>6659.38</v>
      </c>
      <c r="N15" s="12" t="n">
        <v>54.14</v>
      </c>
      <c r="O15" s="13" t="n">
        <v>0.008196522760717249</v>
      </c>
    </row>
    <row r="16">
      <c r="A16" s="5" t="n">
        <v>46307</v>
      </c>
      <c r="B16" s="6" t="n">
        <v>0.4280092592592593</v>
      </c>
      <c r="C16" s="27" t="inlineStr">
        <is>
          <t>Halkbank</t>
        </is>
      </c>
      <c r="D16" s="8" t="n">
        <v>48.907</v>
      </c>
      <c r="E16" s="8" t="n">
        <v>49.897</v>
      </c>
      <c r="F16" s="8" t="n">
        <v>0.99</v>
      </c>
      <c r="G16" s="9" t="n">
        <v>0.02024250107346597</v>
      </c>
      <c r="H16" s="10" t="n">
        <v>54.7978</v>
      </c>
      <c r="I16" s="10" t="n">
        <v>55.9071</v>
      </c>
      <c r="J16" s="10" t="n">
        <v>1.1093</v>
      </c>
      <c r="K16" s="11" t="n">
        <v>0.02024351342572147</v>
      </c>
      <c r="L16" s="12" t="n">
        <v>6539.57</v>
      </c>
      <c r="M16" s="12" t="n">
        <v>6739.39</v>
      </c>
      <c r="N16" s="12" t="n">
        <v>199.82</v>
      </c>
      <c r="O16" s="13" t="n">
        <v>0.03055552582203417</v>
      </c>
    </row>
    <row r="17">
      <c r="A17" s="5" t="n">
        <v>46307</v>
      </c>
      <c r="B17" s="6" t="n">
        <v>0.4280092592592593</v>
      </c>
      <c r="C17" s="28" t="inlineStr">
        <is>
          <t>Harem</t>
        </is>
      </c>
      <c r="D17" s="8" t="n">
        <v>49.211</v>
      </c>
      <c r="E17" s="8" t="n">
        <v>49.286</v>
      </c>
      <c r="F17" s="8" t="n">
        <v>0.075</v>
      </c>
      <c r="G17" s="9" t="n">
        <v>0.001524049501127797</v>
      </c>
      <c r="H17" s="10" t="n">
        <v>55.037</v>
      </c>
      <c r="I17" s="10" t="n">
        <v>55.198</v>
      </c>
      <c r="J17" s="10" t="n">
        <v>0.161</v>
      </c>
      <c r="K17" s="11" t="n">
        <v>0.002925304794956121</v>
      </c>
      <c r="L17" s="12" t="n">
        <v>6578.87</v>
      </c>
      <c r="M17" s="12" t="n">
        <v>6655.79</v>
      </c>
      <c r="N17" s="12" t="n">
        <v>76.92</v>
      </c>
      <c r="O17" s="13" t="n">
        <v>0.01169197749765537</v>
      </c>
    </row>
    <row r="18">
      <c r="A18" s="5" t="n">
        <v>46307</v>
      </c>
      <c r="B18" s="6" t="n">
        <v>0.4280092592592593</v>
      </c>
      <c r="C18" s="29" t="inlineStr">
        <is>
          <t>Hayat Finans</t>
        </is>
      </c>
      <c r="D18" s="8" t="n">
        <v>49.2559</v>
      </c>
      <c r="E18" s="8" t="n">
        <v>49.4056</v>
      </c>
      <c r="F18" s="8" t="n">
        <v>0.1497</v>
      </c>
      <c r="G18" s="9" t="n">
        <v>0.003039229818153764</v>
      </c>
      <c r="H18" s="10" t="n">
        <v>55.1731</v>
      </c>
      <c r="I18" s="10" t="n">
        <v>55.3427</v>
      </c>
      <c r="J18" s="10" t="n">
        <v>0.1696</v>
      </c>
      <c r="K18" s="11" t="n">
        <v>0.003073961767600515</v>
      </c>
      <c r="L18" s="12" t="n">
        <v>6592.95</v>
      </c>
      <c r="M18" s="12" t="n">
        <v>6639.62</v>
      </c>
      <c r="N18" s="12" t="n">
        <v>46.67</v>
      </c>
      <c r="O18" s="13" t="n">
        <v>0.007078773538400867</v>
      </c>
    </row>
    <row r="19">
      <c r="A19" s="5" t="n">
        <v>46307</v>
      </c>
      <c r="B19" s="6" t="n">
        <v>0.4280092592592593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6519.71</v>
      </c>
      <c r="M19" s="12" t="n">
        <v>6711.94</v>
      </c>
      <c r="N19" s="12" t="n">
        <v>192.23</v>
      </c>
      <c r="O19" s="13" t="n">
        <v>0.02948444025884587</v>
      </c>
    </row>
    <row r="20">
      <c r="A20" s="5" t="n">
        <v>46307</v>
      </c>
      <c r="B20" s="6" t="n">
        <v>0.4280092592592593</v>
      </c>
      <c r="C20" s="31" t="inlineStr">
        <is>
          <t>HSBC</t>
        </is>
      </c>
      <c r="D20" s="8" t="n">
        <v>48.845</v>
      </c>
      <c r="E20" s="8" t="n">
        <v>49.7288</v>
      </c>
      <c r="F20" s="8" t="n">
        <v>0.8838</v>
      </c>
      <c r="G20" s="9" t="n">
        <v>0.01809397072371788</v>
      </c>
      <c r="H20" s="10" t="n">
        <v>54.7128</v>
      </c>
      <c r="I20" s="10" t="n">
        <v>55.7678</v>
      </c>
      <c r="J20" s="10" t="n">
        <v>1.055</v>
      </c>
      <c r="K20" s="11" t="n">
        <v>0.01928250793233028</v>
      </c>
      <c r="L20" s="12" t="n">
        <v>6536.67</v>
      </c>
      <c r="M20" s="12" t="n">
        <v>6982.14</v>
      </c>
      <c r="N20" s="12" t="n">
        <v>445.47</v>
      </c>
      <c r="O20" s="13" t="n">
        <v>0.06814937881214747</v>
      </c>
    </row>
    <row r="21">
      <c r="A21" s="5" t="n">
        <v>46307</v>
      </c>
      <c r="B21" s="6" t="n">
        <v>0.4280092592592593</v>
      </c>
      <c r="C21" s="32" t="inlineStr">
        <is>
          <t>ING Bank</t>
        </is>
      </c>
      <c r="D21" s="8" t="n">
        <v>48.7906</v>
      </c>
      <c r="E21" s="8" t="n">
        <v>49.7946</v>
      </c>
      <c r="F21" s="8" t="n">
        <v>1.004</v>
      </c>
      <c r="G21" s="9" t="n">
        <v>0.02057773423569294</v>
      </c>
      <c r="H21" s="10" t="n">
        <v>54.7232</v>
      </c>
      <c r="I21" s="10" t="n">
        <v>55.7298</v>
      </c>
      <c r="J21" s="10" t="n">
        <v>1.0066</v>
      </c>
      <c r="K21" s="11" t="n">
        <v>0.01839439214081048</v>
      </c>
      <c r="L21" s="12" t="n">
        <v>6480.24</v>
      </c>
      <c r="M21" s="12" t="n">
        <v>6782.21</v>
      </c>
      <c r="N21" s="12" t="n">
        <v>301.97</v>
      </c>
      <c r="O21" s="13" t="n">
        <v>0.04659858276853944</v>
      </c>
    </row>
    <row r="22">
      <c r="A22" s="5" t="n">
        <v>46307</v>
      </c>
      <c r="B22" s="6" t="n">
        <v>0.4280092592592593</v>
      </c>
      <c r="C22" s="33" t="inlineStr">
        <is>
          <t>İş Bankası</t>
        </is>
      </c>
      <c r="D22" s="8" t="n">
        <v>48.7061</v>
      </c>
      <c r="E22" s="8" t="n">
        <v>49.8857</v>
      </c>
      <c r="F22" s="8" t="n">
        <v>1.1796</v>
      </c>
      <c r="G22" s="9" t="n">
        <v>0.02421873235590614</v>
      </c>
      <c r="H22" s="10" t="n">
        <v>54.5654</v>
      </c>
      <c r="I22" s="10" t="n">
        <v>55.8969</v>
      </c>
      <c r="J22" s="10" t="n">
        <v>1.3315</v>
      </c>
      <c r="K22" s="11" t="n">
        <v>0.02440191036810873</v>
      </c>
      <c r="L22" s="12" t="n">
        <v>6527.64</v>
      </c>
      <c r="M22" s="12" t="n">
        <v>6706.48</v>
      </c>
      <c r="N22" s="12" t="n">
        <v>178.84</v>
      </c>
      <c r="O22" s="13" t="n">
        <v>0.02739734421628644</v>
      </c>
    </row>
    <row r="23">
      <c r="A23" s="5" t="n">
        <v>46307</v>
      </c>
      <c r="B23" s="6" t="n">
        <v>0.4280092592592593</v>
      </c>
      <c r="C23" s="34" t="inlineStr">
        <is>
          <t>Kapalıçarşı</t>
        </is>
      </c>
      <c r="D23" s="8" t="n">
        <v>49.16</v>
      </c>
      <c r="E23" s="8" t="n">
        <v>49.18</v>
      </c>
      <c r="F23" s="8" t="n">
        <v>0.02</v>
      </c>
      <c r="G23" s="9" t="n">
        <v>0.0004068348250610252</v>
      </c>
      <c r="H23" s="10" t="n">
        <v>55</v>
      </c>
      <c r="I23" s="10" t="n">
        <v>55.05</v>
      </c>
      <c r="J23" s="10" t="n">
        <v>0.05</v>
      </c>
      <c r="K23" s="11" t="n">
        <v>0.0009090909090909091</v>
      </c>
      <c r="L23" s="12" t="n">
        <v>6623.01</v>
      </c>
      <c r="M23" s="12" t="n">
        <v>6630.65</v>
      </c>
      <c r="N23" s="12" t="n">
        <v>7.64</v>
      </c>
      <c r="O23" s="13" t="n">
        <v>0.001153554048687832</v>
      </c>
    </row>
    <row r="24">
      <c r="A24" s="5" t="n">
        <v>46307</v>
      </c>
      <c r="B24" s="6" t="n">
        <v>0.4280092592592593</v>
      </c>
      <c r="C24" s="35" t="inlineStr">
        <is>
          <t>Kuveyt Türk</t>
        </is>
      </c>
      <c r="D24" s="8" t="n">
        <v>48.6514</v>
      </c>
      <c r="E24" s="8" t="n">
        <v>49.6384</v>
      </c>
      <c r="F24" s="8" t="n">
        <v>0.987</v>
      </c>
      <c r="G24" s="9" t="n">
        <v>0.02028718598025956</v>
      </c>
      <c r="H24" s="10" t="n">
        <v>54.5968</v>
      </c>
      <c r="I24" s="10" t="n">
        <v>55.7052</v>
      </c>
      <c r="J24" s="10" t="n">
        <v>1.1084</v>
      </c>
      <c r="K24" s="11" t="n">
        <v>0.0203015561351581</v>
      </c>
      <c r="L24" s="12" t="n">
        <v>6487.95</v>
      </c>
      <c r="M24" s="12" t="n">
        <v>6659.75</v>
      </c>
      <c r="N24" s="12" t="n">
        <v>171.8</v>
      </c>
      <c r="O24" s="13" t="n">
        <v>0.02647985881518816</v>
      </c>
    </row>
    <row r="25">
      <c r="A25" s="5" t="n">
        <v>46307</v>
      </c>
      <c r="B25" s="6" t="n">
        <v>0.4280092592592593</v>
      </c>
      <c r="C25" s="36" t="inlineStr">
        <is>
          <t>Merkez Bankası</t>
        </is>
      </c>
      <c r="D25" s="8" t="n">
        <v>49.1274</v>
      </c>
      <c r="E25" s="8" t="n">
        <v>49.216</v>
      </c>
      <c r="F25" s="8" t="n">
        <v>0.0886</v>
      </c>
      <c r="G25" s="9" t="n">
        <v>0.001803474232302137</v>
      </c>
      <c r="H25" s="10" t="n">
        <v>55.1112</v>
      </c>
      <c r="I25" s="10" t="n">
        <v>55.2105</v>
      </c>
      <c r="J25" s="10" t="n">
        <v>0.0993</v>
      </c>
      <c r="K25" s="11" t="n">
        <v>0.001801811609981274</v>
      </c>
      <c r="L25" s="12" t="n"/>
      <c r="M25" s="12" t="n"/>
      <c r="N25" s="12" t="n"/>
      <c r="O25" s="13" t="n"/>
    </row>
    <row r="26">
      <c r="A26" s="5" t="n">
        <v>46307</v>
      </c>
      <c r="B26" s="6" t="n">
        <v>0.4280092592592593</v>
      </c>
      <c r="C26" s="37" t="inlineStr">
        <is>
          <t>Misyon Bank</t>
        </is>
      </c>
      <c r="D26" s="8" t="n">
        <v>49.245</v>
      </c>
      <c r="E26" s="8" t="n">
        <v>49.3356</v>
      </c>
      <c r="F26" s="8" t="n">
        <v>0.0906</v>
      </c>
      <c r="G26" s="9" t="n">
        <v>0.001839780688394761</v>
      </c>
      <c r="H26" s="10" t="n">
        <v>55.1472</v>
      </c>
      <c r="I26" s="10" t="n">
        <v>55.2925</v>
      </c>
      <c r="J26" s="10" t="n">
        <v>0.1453</v>
      </c>
      <c r="K26" s="11" t="n">
        <v>0.002634766588330867</v>
      </c>
      <c r="L26" s="12" t="n">
        <v>6581.91</v>
      </c>
      <c r="M26" s="12" t="n">
        <v>6616.04</v>
      </c>
      <c r="N26" s="12" t="n">
        <v>34.13</v>
      </c>
      <c r="O26" s="13" t="n">
        <v>0.005185424899459275</v>
      </c>
    </row>
    <row r="27">
      <c r="A27" s="5" t="n">
        <v>46307</v>
      </c>
      <c r="B27" s="6" t="n">
        <v>0.4280092592592593</v>
      </c>
      <c r="C27" s="38" t="inlineStr">
        <is>
          <t>Odacı</t>
        </is>
      </c>
      <c r="D27" s="8" t="n">
        <v>49.194</v>
      </c>
      <c r="E27" s="8" t="n">
        <v>49.355</v>
      </c>
      <c r="F27" s="8" t="n">
        <v>0.161</v>
      </c>
      <c r="G27" s="9" t="n">
        <v>0.003272756840265073</v>
      </c>
      <c r="H27" s="10" t="n">
        <v>55.019</v>
      </c>
      <c r="I27" s="10" t="n">
        <v>55.24</v>
      </c>
      <c r="J27" s="10" t="n">
        <v>0.221</v>
      </c>
      <c r="K27" s="11" t="n">
        <v>0.004016794198367837</v>
      </c>
      <c r="L27" s="12" t="n">
        <v>6606</v>
      </c>
      <c r="M27" s="12" t="n">
        <v>6647</v>
      </c>
      <c r="N27" s="12" t="n">
        <v>41</v>
      </c>
      <c r="O27" s="13" t="n">
        <v>0.006206478958522555</v>
      </c>
    </row>
    <row r="28">
      <c r="A28" s="5" t="n">
        <v>46307</v>
      </c>
      <c r="B28" s="6" t="n">
        <v>0.4280092592592593</v>
      </c>
      <c r="C28" s="39" t="inlineStr">
        <is>
          <t>Odeabank</t>
        </is>
      </c>
      <c r="D28" s="8" t="n">
        <v>48.7825</v>
      </c>
      <c r="E28" s="8" t="n">
        <v>49.7825</v>
      </c>
      <c r="F28" s="8" t="n">
        <v>1</v>
      </c>
      <c r="G28" s="9" t="n">
        <v>0.02049915440988059</v>
      </c>
      <c r="H28" s="10" t="n">
        <v>54.671</v>
      </c>
      <c r="I28" s="10" t="n">
        <v>55.761</v>
      </c>
      <c r="J28" s="10" t="n">
        <v>1.09</v>
      </c>
      <c r="K28" s="11" t="n">
        <v>0.0199374439830989</v>
      </c>
      <c r="L28" s="12" t="n">
        <v>6583.91</v>
      </c>
      <c r="M28" s="12" t="n">
        <v>6683.91</v>
      </c>
      <c r="N28" s="12" t="n">
        <v>100</v>
      </c>
      <c r="O28" s="13" t="n">
        <v>0.01518854297826064</v>
      </c>
    </row>
    <row r="29">
      <c r="A29" s="5" t="n">
        <v>46307</v>
      </c>
      <c r="B29" s="6" t="n">
        <v>0.4280092592592593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6519.71</v>
      </c>
      <c r="M29" s="12" t="n">
        <v>6698.54</v>
      </c>
      <c r="N29" s="12" t="n">
        <v>178.83</v>
      </c>
      <c r="O29" s="13" t="n">
        <v>0.02742913411792856</v>
      </c>
    </row>
    <row r="30">
      <c r="A30" s="5" t="n">
        <v>46307</v>
      </c>
      <c r="B30" s="6" t="n">
        <v>0.4280092592592593</v>
      </c>
      <c r="C30" s="41" t="inlineStr">
        <is>
          <t>QNB Finansbank</t>
        </is>
      </c>
      <c r="D30" s="8" t="n">
        <v>48.577</v>
      </c>
      <c r="E30" s="8" t="n">
        <v>50.097</v>
      </c>
      <c r="F30" s="8" t="n">
        <v>1.52</v>
      </c>
      <c r="G30" s="9" t="n">
        <v>0.03129052843938489</v>
      </c>
      <c r="H30" s="10" t="n">
        <v>54.3114</v>
      </c>
      <c r="I30" s="10" t="n">
        <v>56.2516</v>
      </c>
      <c r="J30" s="10" t="n">
        <v>1.9402</v>
      </c>
      <c r="K30" s="11" t="n">
        <v>0.03572362340134852</v>
      </c>
      <c r="L30" s="12" t="n">
        <v>6488.39</v>
      </c>
      <c r="M30" s="12" t="n">
        <v>6720.4</v>
      </c>
      <c r="N30" s="12" t="n">
        <v>232.01</v>
      </c>
      <c r="O30" s="13" t="n">
        <v>0.03575771493390503</v>
      </c>
    </row>
    <row r="31">
      <c r="A31" s="5" t="n">
        <v>46307</v>
      </c>
      <c r="B31" s="6" t="n">
        <v>0.4280092592592593</v>
      </c>
      <c r="C31" s="42" t="inlineStr">
        <is>
          <t>TOM Bank Hadi</t>
        </is>
      </c>
      <c r="D31" s="8" t="n">
        <v>49.1308</v>
      </c>
      <c r="E31" s="8" t="n">
        <v>49.4267</v>
      </c>
      <c r="F31" s="8" t="n">
        <v>0.2959</v>
      </c>
      <c r="G31" s="9" t="n">
        <v>0.006022698592329048</v>
      </c>
      <c r="H31" s="10" t="n">
        <v>55.0442</v>
      </c>
      <c r="I31" s="10" t="n">
        <v>55.3758</v>
      </c>
      <c r="J31" s="10" t="n">
        <v>0.3316</v>
      </c>
      <c r="K31" s="11" t="n">
        <v>0.006024249603046278</v>
      </c>
      <c r="L31" s="12" t="n">
        <v>6577.17</v>
      </c>
      <c r="M31" s="12" t="n">
        <v>6636.6</v>
      </c>
      <c r="N31" s="12" t="n">
        <v>59.43</v>
      </c>
      <c r="O31" s="13" t="n">
        <v>0.009035801112028426</v>
      </c>
    </row>
    <row r="32">
      <c r="A32" s="5" t="n">
        <v>46307</v>
      </c>
      <c r="B32" s="6" t="n">
        <v>0.4280092592592593</v>
      </c>
      <c r="C32" s="43" t="inlineStr">
        <is>
          <t>Türkiye Finans</t>
        </is>
      </c>
      <c r="D32" s="8" t="n">
        <v>48.8902</v>
      </c>
      <c r="E32" s="8" t="n">
        <v>49.693</v>
      </c>
      <c r="F32" s="8" t="n">
        <v>0.8028</v>
      </c>
      <c r="G32" s="9" t="n">
        <v>0.01642046872379331</v>
      </c>
      <c r="H32" s="10" t="n">
        <v>54.796</v>
      </c>
      <c r="I32" s="10" t="n">
        <v>55.6473</v>
      </c>
      <c r="J32" s="10" t="n">
        <v>0.8512999999999999</v>
      </c>
      <c r="K32" s="11" t="n">
        <v>0.0155358055332506</v>
      </c>
      <c r="L32" s="12" t="n">
        <v>6536.65</v>
      </c>
      <c r="M32" s="12" t="n">
        <v>6732.92</v>
      </c>
      <c r="N32" s="12" t="n">
        <v>196.27</v>
      </c>
      <c r="O32" s="13" t="n">
        <v>0.03002608369730672</v>
      </c>
    </row>
    <row r="33">
      <c r="A33" s="5" t="n">
        <v>46307</v>
      </c>
      <c r="B33" s="6" t="n">
        <v>0.4280092592592593</v>
      </c>
      <c r="C33" s="44" t="inlineStr">
        <is>
          <t>Vakıf Katılım</t>
        </is>
      </c>
      <c r="D33" s="8" t="n">
        <v>49.1907</v>
      </c>
      <c r="E33" s="8" t="n">
        <v>49.3982</v>
      </c>
      <c r="F33" s="8" t="n">
        <v>0.2075</v>
      </c>
      <c r="G33" s="9" t="n">
        <v>0.004218277032040609</v>
      </c>
      <c r="H33" s="10" t="n">
        <v>55.1084</v>
      </c>
      <c r="I33" s="10" t="n">
        <v>55.3304</v>
      </c>
      <c r="J33" s="10" t="n">
        <v>0.222</v>
      </c>
      <c r="K33" s="11" t="n">
        <v>0.004028423978921543</v>
      </c>
      <c r="L33" s="12" t="n">
        <v>6574.58</v>
      </c>
      <c r="M33" s="12" t="n">
        <v>6627.39</v>
      </c>
      <c r="N33" s="12" t="n">
        <v>52.81</v>
      </c>
      <c r="O33" s="13" t="n">
        <v>0.008032452263110343</v>
      </c>
    </row>
    <row r="34">
      <c r="A34" s="5" t="n">
        <v>46307</v>
      </c>
      <c r="B34" s="6" t="n">
        <v>0.4280092592592593</v>
      </c>
      <c r="C34" s="45" t="inlineStr">
        <is>
          <t>Vakıfbank</t>
        </is>
      </c>
      <c r="D34" s="8" t="n">
        <v>48.914</v>
      </c>
      <c r="E34" s="8" t="n">
        <v>49.8996</v>
      </c>
      <c r="F34" s="8" t="n">
        <v>0.9856</v>
      </c>
      <c r="G34" s="9" t="n">
        <v>0.02014965040683649</v>
      </c>
      <c r="H34" s="10" t="n">
        <v>54.8235</v>
      </c>
      <c r="I34" s="10" t="n">
        <v>55.9265</v>
      </c>
      <c r="J34" s="10" t="n">
        <v>1.103</v>
      </c>
      <c r="K34" s="11" t="n">
        <v>0.02011910950596003</v>
      </c>
      <c r="L34" s="12" t="n">
        <v>6538.97</v>
      </c>
      <c r="M34" s="12" t="n">
        <v>6681.57</v>
      </c>
      <c r="N34" s="12" t="n">
        <v>142.6</v>
      </c>
      <c r="O34" s="13" t="n">
        <v>0.02180771589409341</v>
      </c>
    </row>
    <row r="35">
      <c r="A35" s="5" t="n">
        <v>46307</v>
      </c>
      <c r="B35" s="6" t="n">
        <v>0.4280092592592593</v>
      </c>
      <c r="C35" s="46" t="inlineStr">
        <is>
          <t>Venüs</t>
        </is>
      </c>
      <c r="D35" s="8" t="n">
        <v>49.222</v>
      </c>
      <c r="E35" s="8" t="n">
        <v>49.286</v>
      </c>
      <c r="F35" s="8" t="n">
        <v>0.064</v>
      </c>
      <c r="G35" s="9" t="n">
        <v>0.001300231603754419</v>
      </c>
      <c r="H35" s="10" t="n">
        <v>55.04</v>
      </c>
      <c r="I35" s="10" t="n">
        <v>55.184</v>
      </c>
      <c r="J35" s="10" t="n">
        <v>0.144</v>
      </c>
      <c r="K35" s="11" t="n">
        <v>0.002616279069767442</v>
      </c>
      <c r="L35" s="12" t="n"/>
      <c r="M35" s="12" t="n"/>
      <c r="N35" s="12" t="n"/>
      <c r="O35" s="13" t="n"/>
    </row>
    <row r="36">
      <c r="A36" s="5" t="n">
        <v>46307</v>
      </c>
      <c r="B36" s="6" t="n">
        <v>0.4280092592592593</v>
      </c>
      <c r="C36" s="47" t="inlineStr">
        <is>
          <t>Yapıkredi</t>
        </is>
      </c>
      <c r="D36" s="8" t="n">
        <v>48.79</v>
      </c>
      <c r="E36" s="8" t="n">
        <v>49.79</v>
      </c>
      <c r="F36" s="8" t="n">
        <v>1</v>
      </c>
      <c r="G36" s="9" t="n">
        <v>0.02049600327936052</v>
      </c>
      <c r="H36" s="10" t="n">
        <v>54.66</v>
      </c>
      <c r="I36" s="10" t="n">
        <v>55.79</v>
      </c>
      <c r="J36" s="10" t="n">
        <v>1.13</v>
      </c>
      <c r="K36" s="11" t="n">
        <v>0.02067325283571167</v>
      </c>
      <c r="L36" s="12" t="n">
        <v>6528.34</v>
      </c>
      <c r="M36" s="12" t="n">
        <v>6729.33</v>
      </c>
      <c r="N36" s="12" t="n">
        <v>200.99</v>
      </c>
      <c r="O36" s="13" t="n">
        <v>0.03078730580821465</v>
      </c>
    </row>
    <row r="37">
      <c r="A37" s="5" t="n">
        <v>46307</v>
      </c>
      <c r="B37" s="6" t="n">
        <v>0.4280092592592593</v>
      </c>
      <c r="C37" s="48" t="inlineStr">
        <is>
          <t>Ziraat Bankası</t>
        </is>
      </c>
      <c r="D37" s="8" t="n">
        <v>48.9212</v>
      </c>
      <c r="E37" s="8" t="n">
        <v>49.9108</v>
      </c>
      <c r="F37" s="8" t="n">
        <v>0.9896</v>
      </c>
      <c r="G37" s="9" t="n">
        <v>0.02022844901596854</v>
      </c>
      <c r="H37" s="10" t="n">
        <v>54.8138</v>
      </c>
      <c r="I37" s="10" t="n">
        <v>55.9227</v>
      </c>
      <c r="J37" s="10" t="n">
        <v>1.1089</v>
      </c>
      <c r="K37" s="11" t="n">
        <v>0.02023030696649384</v>
      </c>
      <c r="L37" s="12" t="n">
        <v>6576.6</v>
      </c>
      <c r="M37" s="12" t="n">
        <v>6709.39</v>
      </c>
      <c r="N37" s="12" t="n">
        <v>132.79</v>
      </c>
      <c r="O37" s="13" t="n">
        <v>0.02019128425022048</v>
      </c>
    </row>
    <row r="38">
      <c r="A38" s="5" t="n">
        <v>46307</v>
      </c>
      <c r="B38" s="6" t="n">
        <v>0.4280092592592593</v>
      </c>
      <c r="C38" s="49" t="inlineStr">
        <is>
          <t>Ziraat Dinamik</t>
        </is>
      </c>
      <c r="D38" s="8" t="n">
        <v>48.971</v>
      </c>
      <c r="E38" s="8" t="n">
        <v>49.6373</v>
      </c>
      <c r="F38" s="8" t="n">
        <v>0.6663</v>
      </c>
      <c r="G38" s="9" t="n">
        <v>0.01360601172122276</v>
      </c>
      <c r="H38" s="10" t="n">
        <v>54.8089</v>
      </c>
      <c r="I38" s="10" t="n">
        <v>55.6102</v>
      </c>
      <c r="J38" s="10" t="n">
        <v>0.8013</v>
      </c>
      <c r="K38" s="11" t="n">
        <v>0.01461988837579298</v>
      </c>
      <c r="L38" s="12" t="n">
        <v>6542.18</v>
      </c>
      <c r="M38" s="12" t="n">
        <v>6674.28</v>
      </c>
      <c r="N38" s="12" t="n">
        <v>132.1</v>
      </c>
      <c r="O38" s="13" t="n">
        <v>0.02019204607638432</v>
      </c>
    </row>
    <row r="39">
      <c r="A39" s="5" t="n">
        <v>46307</v>
      </c>
      <c r="B39" s="6" t="n">
        <v>0.4280092592592593</v>
      </c>
      <c r="C39" s="50" t="inlineStr">
        <is>
          <t>Ziraat Katılım</t>
        </is>
      </c>
      <c r="D39" s="8" t="n">
        <v>48.7969</v>
      </c>
      <c r="E39" s="8" t="n">
        <v>49.8154</v>
      </c>
      <c r="F39" s="8" t="n">
        <v>1.0185</v>
      </c>
      <c r="G39" s="9" t="n">
        <v>0.02087222753904449</v>
      </c>
      <c r="H39" s="10" t="n">
        <v>54.6364</v>
      </c>
      <c r="I39" s="10" t="n">
        <v>55.832</v>
      </c>
      <c r="J39" s="10" t="n">
        <v>1.1956</v>
      </c>
      <c r="K39" s="11" t="n">
        <v>0.02188284733254753</v>
      </c>
      <c r="L39" s="12" t="n">
        <v>6560.97</v>
      </c>
      <c r="M39" s="12" t="n">
        <v>6769.16</v>
      </c>
      <c r="N39" s="12" t="n">
        <v>208.19</v>
      </c>
      <c r="O39" s="13" t="n">
        <v>0.03173158846938791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</hyperlinks>
  <pageMargins left="0.75" right="0.75" top="1" bottom="1" header="0.5" footer="0.5"/>
  <tableParts count="1">
    <tablePart xmlns:r="http://schemas.openxmlformats.org/officeDocument/2006/relationships" r:id="rId496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46307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0.4280092592592593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0.02022844901596854</v>
      </c>
      <c r="O5" s="73" t="inlineStr">
        <is>
          <t>Ziraat Bankası</t>
        </is>
      </c>
      <c r="P5" s="74" t="n">
        <v>48.9212</v>
      </c>
      <c r="Q5" s="74" t="n">
        <v>49.9108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0.02023030696649384</v>
      </c>
      <c r="O6" s="73" t="inlineStr">
        <is>
          <t>Ziraat Bankası</t>
        </is>
      </c>
      <c r="P6" s="74" t="n">
        <v>54.8138</v>
      </c>
      <c r="Q6" s="74" t="n">
        <v>55.9227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0.02019128425022048</v>
      </c>
      <c r="O7" s="73" t="inlineStr">
        <is>
          <t>Ziraat Bankası</t>
        </is>
      </c>
      <c r="P7" s="74" t="n">
        <v>6576.6</v>
      </c>
      <c r="Q7" s="74" t="n">
        <v>6709.39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2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0.03251569541876598</v>
      </c>
      <c r="I15" s="69" t="n">
        <v>0.03251518843052077</v>
      </c>
      <c r="J15" s="70" t="n">
        <v>0.04565770801774435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0.03745030755713052</v>
      </c>
      <c r="I16" s="69" t="n">
        <v>0.03751998872567831</v>
      </c>
      <c r="J16" s="70" t="n">
        <v>0.05149431536741569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0.03258257271830425</v>
      </c>
      <c r="I17" s="69" t="n">
        <v>0.0311074801826575</v>
      </c>
      <c r="J17" s="70" t="n">
        <v>0.04856031330700081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0.03377996698812256</v>
      </c>
      <c r="I18" s="69" t="n">
        <v>0.03378059386904868</v>
      </c>
      <c r="J18" s="70" t="n">
        <v>0.06169047964887556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0.03479886477050489</v>
      </c>
      <c r="I19" s="69" t="n">
        <v>0.0349218687972534</v>
      </c>
      <c r="J19" s="70" t="n">
        <v>0.06270667989617666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0.03251569541876598</v>
      </c>
      <c r="V4" s="55" t="n">
        <v>0.03745030755713052</v>
      </c>
      <c r="W4" s="55" t="n">
        <v>0.03258257271830425</v>
      </c>
      <c r="X4" s="55" t="n">
        <v>0.03377996698812256</v>
      </c>
      <c r="Y4" s="55" t="n">
        <v>0.03479886477050489</v>
      </c>
      <c r="Z4" s="55" t="n">
        <v>0.03251518843052077</v>
      </c>
      <c r="AA4" s="55" t="n">
        <v>0.03751998872567831</v>
      </c>
      <c r="AB4" s="55" t="n">
        <v>0.0311074801826575</v>
      </c>
      <c r="AC4" s="55" t="n">
        <v>0.03378059386904868</v>
      </c>
      <c r="AD4" s="55" t="n">
        <v>0.0349218687972534</v>
      </c>
      <c r="AE4" s="55" t="n">
        <v>0.04565770801774435</v>
      </c>
      <c r="AF4" s="55" t="n">
        <v>0.05149431536741569</v>
      </c>
      <c r="AG4" s="55" t="n">
        <v>0.04856031330700081</v>
      </c>
      <c r="AH4" s="55" t="n">
        <v>0.06169047964887556</v>
      </c>
      <c r="AI4" s="55" t="n">
        <v>0.06270667989617666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2026-10-12T07:16:37Z</dcterms:created>
  <dcterms:modified xsi:type="dcterms:W3CDTF">2026-10-12T07:16:38Z</dcterms:modified>
</cp:coreProperties>
</file>