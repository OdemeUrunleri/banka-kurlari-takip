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'GRAFIK_VERILERI'!$B$2:$B$40</f>
              <numCache>
                <formatCode>0.00%</formatCode>
                <ptCount val="3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'GRAFIK_VERILERI'!$C$2:$C$40</f>
              <numCache>
                <formatCode>0.00%</formatCode>
                <ptCount val="3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'GRAFIK_VERILERI'!$D$2:$D$40</f>
              <numCache>
                <formatCode>0.00%</formatCode>
                <ptCount val="3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'GRAFIK_VERILERI'!$E$2:$E$40</f>
              <numCache>
                <formatCode>0.00%</formatCode>
                <ptCount val="3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'GRAFIK_VERILERI'!$F$2:$F$40</f>
              <numCache>
                <formatCode>0.00%</formatCode>
                <ptCount val="3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'GRAFIK_VERILERI'!$G$2:$G$40</f>
              <numCache>
                <formatCode>0.00%</formatCode>
                <ptCount val="3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'GRAFIK_VERILERI'!$H$2:$H$40</f>
              <numCache>
                <formatCode>0.00%</formatCode>
                <ptCount val="3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'GRAFIK_VERILERI'!$I$2:$I$40</f>
              <numCache>
                <formatCode>0.00%</formatCode>
                <ptCount val="3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'GRAFIK_VERILERI'!$J$2:$J$40</f>
              <numCache>
                <formatCode>0.00%</formatCode>
                <ptCount val="3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'GRAFIK_VERILERI'!$K$2:$K$40</f>
              <numCache>
                <formatCode>0.00%</formatCode>
                <ptCount val="3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'GRAFIK_VERILERI'!$L$2:$L$40</f>
              <numCache>
                <formatCode>0.00%</formatCode>
                <ptCount val="3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'GRAFIK_VERILERI'!$M$2:$M$40</f>
              <numCache>
                <formatCode>0.00%</formatCode>
                <ptCount val="3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'GRAFIK_VERILERI'!$N$2:$N$40</f>
              <numCache>
                <formatCode>0.00%</formatCode>
                <ptCount val="3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'GRAFIK_VERILERI'!$O$2:$O$40</f>
              <numCache>
                <formatCode>0.00%</formatCode>
                <ptCount val="3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'GRAFIK_VERILERI'!$P$2:$P$40</f>
              <numCache>
                <formatCode>0.00%</formatCode>
                <ptCount val="3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0.03349218009761287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0.03944014370309673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0.03451674483412603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0.03648986581024079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0.03689723426656977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0.03348644521853655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0.03955143793883974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0.03269473640806327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0.03649088652858554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0.03699885177027457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0.0502828667029448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0.05492027864814052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0.05176391721322413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0.0699906622038832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0.06973855727652623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'GRAFIK_VERILERI'!$B$2:$B$40</f>
              <numCache>
                <formatCode>0.00%</formatCode>
                <ptCount val="39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064417926435"/>
          <min val="0.0250197738404814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'GRAFIK_VERILERI'!$G$2:$G$40</f>
              <numCache>
                <formatCode>0.00%</formatCode>
                <ptCount val="39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757605733653"/>
          <min val="0.0250176354167964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'GRAFIK_VERILERI'!$L$2:$L$40</f>
              <numCache>
                <formatCode>0.00%</formatCode>
                <ptCount val="39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938296058278"/>
          <min val="0.0299782973485318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'GRAFIK_VERILERI'!$C$2:$C$40</f>
              <numCache>
                <formatCode>0.00%</formatCode>
                <ptCount val="39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1200325537113"/>
          <min val="0.0219455307810952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'GRAFIK_VERILERI'!$H$2:$H$40</f>
              <numCache>
                <formatCode>0.00%</formatCode>
                <ptCount val="39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999309125812"/>
          <min val="0.021958312291324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'GRAFIK_VERILERI'!$M$2:$M$40</f>
              <numCache>
                <formatCode>0.00%</formatCode>
                <ptCount val="39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620113762221"/>
          <min val="0.025544971165431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'GRAFIK_VERILERI'!$D$2:$D$40</f>
              <numCache>
                <formatCode>0.00%</formatCode>
                <ptCount val="39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'GRAFIK_VERILERI'!$I$2:$I$40</f>
              <numCache>
                <formatCode>0.00%</formatCode>
                <ptCount val="39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'GRAFIK_VERILERI'!$N$2:$N$40</f>
              <numCache>
                <formatCode>0.00%</formatCode>
                <ptCount val="39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'GRAFIK_VERILERI'!$E$2:$E$40</f>
              <numCache>
                <formatCode>0.00%</formatCode>
                <ptCount val="39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'GRAFIK_VERILERI'!$J$2:$J$40</f>
              <numCache>
                <formatCode>0.00%</formatCode>
                <ptCount val="39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'GRAFIK_VERILERI'!$O$2:$O$40</f>
              <numCache>
                <formatCode>0.00%</formatCode>
                <ptCount val="39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'GRAFIK_VERILERI'!$F$2:$F$40</f>
              <numCache>
                <formatCode>0.00%</formatCode>
                <ptCount val="39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'GRAFIK_VERILERI'!$K$2:$K$40</f>
              <numCache>
                <formatCode>0.00%</formatCode>
                <ptCount val="39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'GRAFIK_VERILERI'!$A$2:$A$40</f>
              <strCache>
                <ptCount val="39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</strCache>
            </strRef>
          </cat>
          <val>
            <numRef>
              <f>'GRAFIK_VERILERI'!$P$2:$P$40</f>
              <numCache>
                <formatCode>0.00%</formatCode>
                <ptCount val="39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204" headerRowCount="1">
  <autoFilter ref="A1:N4204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table" Target="/xl/tables/table2.xml" Id="rId420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46300</v>
      </c>
      <c r="B2" s="6" t="n">
        <v>0.4251851851851852</v>
      </c>
      <c r="C2" s="7" t="inlineStr">
        <is>
          <t>Akbank</t>
        </is>
      </c>
      <c r="D2" s="8" t="n">
        <v>48.366</v>
      </c>
      <c r="E2" s="8" t="n">
        <v>49.716</v>
      </c>
      <c r="F2" s="8" t="n">
        <v>1.35</v>
      </c>
      <c r="G2" s="9" t="n">
        <v>0.02791216970599181</v>
      </c>
      <c r="H2" s="10" t="n">
        <v>54.1356</v>
      </c>
      <c r="I2" s="10" t="n">
        <v>55.6516</v>
      </c>
      <c r="J2" s="10" t="n">
        <v>1.516</v>
      </c>
      <c r="K2" s="11" t="n">
        <v>0.02800375353741346</v>
      </c>
      <c r="L2" s="12" t="n">
        <v>6399.26</v>
      </c>
      <c r="M2" s="12" t="n">
        <v>6626.28</v>
      </c>
      <c r="N2" s="12" t="n">
        <v>227.02</v>
      </c>
      <c r="O2" s="13" t="n">
        <v>0.0354759769098302</v>
      </c>
    </row>
    <row r="3">
      <c r="A3" s="5" t="n">
        <v>46300</v>
      </c>
      <c r="B3" s="6" t="n">
        <v>0.4251851851851852</v>
      </c>
      <c r="C3" s="14" t="inlineStr">
        <is>
          <t>Albaraka Türk</t>
        </is>
      </c>
      <c r="D3" s="8" t="n">
        <v>48.791</v>
      </c>
      <c r="E3" s="8" t="n">
        <v>49.513</v>
      </c>
      <c r="F3" s="8" t="n">
        <v>0.722</v>
      </c>
      <c r="G3" s="9" t="n">
        <v>0.01479781107171405</v>
      </c>
      <c r="H3" s="10" t="n">
        <v>54.606</v>
      </c>
      <c r="I3" s="10" t="n">
        <v>55.43</v>
      </c>
      <c r="J3" s="10" t="n">
        <v>0.824</v>
      </c>
      <c r="K3" s="11" t="n">
        <v>0.01508991685895323</v>
      </c>
      <c r="L3" s="12" t="n">
        <v>6472.41</v>
      </c>
      <c r="M3" s="12" t="n">
        <v>6595.32</v>
      </c>
      <c r="N3" s="12" t="n">
        <v>122.91</v>
      </c>
      <c r="O3" s="13" t="n">
        <v>0.01898983531636593</v>
      </c>
    </row>
    <row r="4">
      <c r="A4" s="5" t="n">
        <v>46300</v>
      </c>
      <c r="B4" s="6" t="n">
        <v>0.4251851851851852</v>
      </c>
      <c r="C4" s="15" t="inlineStr">
        <is>
          <t>Alternatif Bank</t>
        </is>
      </c>
      <c r="D4" s="8" t="n">
        <v>48.943</v>
      </c>
      <c r="E4" s="8" t="n">
        <v>49.241</v>
      </c>
      <c r="F4" s="8" t="n">
        <v>0.298</v>
      </c>
      <c r="G4" s="9" t="n">
        <v>0.00608871544449666</v>
      </c>
      <c r="H4" s="10" t="n">
        <v>54.592</v>
      </c>
      <c r="I4" s="10" t="n">
        <v>55.095</v>
      </c>
      <c r="J4" s="10" t="n">
        <v>0.503</v>
      </c>
      <c r="K4" s="11" t="n">
        <v>0.009213804220398594</v>
      </c>
      <c r="L4" s="12" t="n">
        <v>6522.92</v>
      </c>
      <c r="M4" s="12" t="n">
        <v>6588.82</v>
      </c>
      <c r="N4" s="12" t="n">
        <v>65.90000000000001</v>
      </c>
      <c r="O4" s="13" t="n">
        <v>0.01010283737957847</v>
      </c>
    </row>
    <row r="5">
      <c r="A5" s="5" t="n">
        <v>46300</v>
      </c>
      <c r="B5" s="6" t="n">
        <v>0.4251851851851852</v>
      </c>
      <c r="C5" s="16" t="inlineStr">
        <is>
          <t>Altınkaynak</t>
        </is>
      </c>
      <c r="D5" s="8" t="n">
        <v>49.07</v>
      </c>
      <c r="E5" s="8" t="n">
        <v>49.27</v>
      </c>
      <c r="F5" s="8" t="n">
        <v>0.2</v>
      </c>
      <c r="G5" s="9" t="n">
        <v>0.004075810067250866</v>
      </c>
      <c r="H5" s="10" t="n">
        <v>54.84</v>
      </c>
      <c r="I5" s="10" t="n">
        <v>55.161</v>
      </c>
      <c r="J5" s="10" t="n">
        <v>0.321</v>
      </c>
      <c r="K5" s="11" t="n">
        <v>0.005853391684901533</v>
      </c>
      <c r="L5" s="12" t="n">
        <v>6531</v>
      </c>
      <c r="M5" s="12" t="n">
        <v>6685</v>
      </c>
      <c r="N5" s="12" t="n">
        <v>154</v>
      </c>
      <c r="O5" s="13" t="n">
        <v>0.02357984994640943</v>
      </c>
    </row>
    <row r="6">
      <c r="A6" s="5" t="n">
        <v>46300</v>
      </c>
      <c r="B6" s="6" t="n">
        <v>0.4251851851851852</v>
      </c>
      <c r="C6" s="17" t="inlineStr">
        <is>
          <t>Anadolubank</t>
        </is>
      </c>
      <c r="D6" s="8" t="n">
        <v>48.3167</v>
      </c>
      <c r="E6" s="8" t="n">
        <v>49.5939</v>
      </c>
      <c r="F6" s="8" t="n">
        <v>1.2772</v>
      </c>
      <c r="G6" s="9" t="n">
        <v>0.02643392450229424</v>
      </c>
      <c r="H6" s="10" t="n">
        <v>54.1528</v>
      </c>
      <c r="I6" s="10" t="n">
        <v>55.519</v>
      </c>
      <c r="J6" s="10" t="n">
        <v>1.3662</v>
      </c>
      <c r="K6" s="11" t="n">
        <v>0.0252286123709208</v>
      </c>
      <c r="L6" s="12" t="n">
        <v>6447.85</v>
      </c>
      <c r="M6" s="12" t="n">
        <v>6598.78</v>
      </c>
      <c r="N6" s="12" t="n">
        <v>150.93</v>
      </c>
      <c r="O6" s="13" t="n">
        <v>0.02340780260086696</v>
      </c>
    </row>
    <row r="7">
      <c r="A7" s="5" t="n">
        <v>46300</v>
      </c>
      <c r="B7" s="6" t="n">
        <v>0.4251851851851852</v>
      </c>
      <c r="C7" s="18" t="inlineStr">
        <is>
          <t>CEPTETEB</t>
        </is>
      </c>
      <c r="D7" s="8" t="n">
        <v>48.149</v>
      </c>
      <c r="E7" s="8" t="n">
        <v>50.105</v>
      </c>
      <c r="F7" s="8" t="n">
        <v>1.956</v>
      </c>
      <c r="G7" s="9" t="n">
        <v>0.04062389665413612</v>
      </c>
      <c r="H7" s="10" t="n">
        <v>53.888</v>
      </c>
      <c r="I7" s="10" t="n">
        <v>56.088</v>
      </c>
      <c r="J7" s="10" t="n">
        <v>2.2</v>
      </c>
      <c r="K7" s="11" t="n">
        <v>0.04082541567695962</v>
      </c>
      <c r="L7" s="12" t="n">
        <v>6443.49</v>
      </c>
      <c r="M7" s="12" t="n">
        <v>6641.3</v>
      </c>
      <c r="N7" s="12" t="n">
        <v>197.81</v>
      </c>
      <c r="O7" s="13" t="n">
        <v>0.03069920183006414</v>
      </c>
    </row>
    <row r="8">
      <c r="A8" s="5" t="n">
        <v>46300</v>
      </c>
      <c r="B8" s="6" t="n">
        <v>0.4251851851851852</v>
      </c>
      <c r="C8" s="19" t="inlineStr">
        <is>
          <t>Denizbank</t>
        </is>
      </c>
      <c r="D8" s="8" t="n">
        <v>48.4186</v>
      </c>
      <c r="E8" s="8" t="n">
        <v>49.8187</v>
      </c>
      <c r="F8" s="8" t="n">
        <v>1.4001</v>
      </c>
      <c r="G8" s="9" t="n">
        <v>0.02891657338295614</v>
      </c>
      <c r="H8" s="10" t="n">
        <v>54.1946</v>
      </c>
      <c r="I8" s="10" t="n">
        <v>55.7667</v>
      </c>
      <c r="J8" s="10" t="n">
        <v>1.5721</v>
      </c>
      <c r="K8" s="11" t="n">
        <v>0.02900842519365398</v>
      </c>
      <c r="L8" s="12" t="n">
        <v>6467.41</v>
      </c>
      <c r="M8" s="12" t="n">
        <v>6655.4</v>
      </c>
      <c r="N8" s="12" t="n">
        <v>187.99</v>
      </c>
      <c r="O8" s="13" t="n">
        <v>0.02906727731812271</v>
      </c>
    </row>
    <row r="9">
      <c r="A9" s="5" t="n">
        <v>46300</v>
      </c>
      <c r="B9" s="6" t="n">
        <v>0.4251851851851852</v>
      </c>
      <c r="C9" s="20" t="inlineStr">
        <is>
          <t>DestekBank</t>
        </is>
      </c>
      <c r="D9" s="8" t="n">
        <v>49.0505</v>
      </c>
      <c r="E9" s="8" t="n">
        <v>49.1834</v>
      </c>
      <c r="F9" s="8" t="n">
        <v>0.1329</v>
      </c>
      <c r="G9" s="9" t="n">
        <v>0.002709452503032589</v>
      </c>
      <c r="H9" s="10" t="n">
        <v>54.8824</v>
      </c>
      <c r="I9" s="10" t="n">
        <v>55.056</v>
      </c>
      <c r="J9" s="10" t="n">
        <v>0.1736</v>
      </c>
      <c r="K9" s="11" t="n">
        <v>0.003163126976954361</v>
      </c>
      <c r="L9" s="12" t="n">
        <v>6459.76</v>
      </c>
      <c r="M9" s="12" t="n">
        <v>6591.1</v>
      </c>
      <c r="N9" s="12" t="n">
        <v>131.34</v>
      </c>
      <c r="O9" s="13" t="n">
        <v>0.02033202471918462</v>
      </c>
    </row>
    <row r="10">
      <c r="A10" s="5" t="n">
        <v>46300</v>
      </c>
      <c r="B10" s="6" t="n">
        <v>0.4251851851851852</v>
      </c>
      <c r="C10" s="21" t="inlineStr">
        <is>
          <t>Dünya Katılım</t>
        </is>
      </c>
      <c r="D10" s="8" t="n">
        <v>49.0723</v>
      </c>
      <c r="E10" s="8" t="n">
        <v>49.1633</v>
      </c>
      <c r="F10" s="8" t="n">
        <v>0.091</v>
      </c>
      <c r="G10" s="9" t="n">
        <v>0.001854406661191752</v>
      </c>
      <c r="H10" s="10" t="n">
        <v>54.8568</v>
      </c>
      <c r="I10" s="10" t="n">
        <v>55.057</v>
      </c>
      <c r="J10" s="10" t="n">
        <v>0.2002</v>
      </c>
      <c r="K10" s="11" t="n">
        <v>0.003649501976054017</v>
      </c>
      <c r="L10" s="12" t="n">
        <v>6508.32</v>
      </c>
      <c r="M10" s="12" t="n">
        <v>6542.56</v>
      </c>
      <c r="N10" s="12" t="n">
        <v>34.24</v>
      </c>
      <c r="O10" s="13" t="n">
        <v>0.005260958281092509</v>
      </c>
    </row>
    <row r="11">
      <c r="A11" s="5" t="n">
        <v>46300</v>
      </c>
      <c r="B11" s="6" t="n">
        <v>0.4251851851851852</v>
      </c>
      <c r="C11" s="22" t="inlineStr">
        <is>
          <t>Emlak Katılım</t>
        </is>
      </c>
      <c r="D11" s="8" t="n">
        <v>48.7834</v>
      </c>
      <c r="E11" s="8" t="n">
        <v>50.0427</v>
      </c>
      <c r="F11" s="8" t="n">
        <v>1.2593</v>
      </c>
      <c r="G11" s="9" t="n">
        <v>0.02581410889769881</v>
      </c>
      <c r="H11" s="10" t="n">
        <v>54.5166</v>
      </c>
      <c r="I11" s="10" t="n">
        <v>55.7663</v>
      </c>
      <c r="J11" s="10" t="n">
        <v>1.2497</v>
      </c>
      <c r="K11" s="11" t="n">
        <v>0.0229232930887106</v>
      </c>
      <c r="L11" s="12" t="n">
        <v>6466.88</v>
      </c>
      <c r="M11" s="12" t="n">
        <v>6572.31</v>
      </c>
      <c r="N11" s="12" t="n">
        <v>105.43</v>
      </c>
      <c r="O11" s="13" t="n">
        <v>0.0163030704141719</v>
      </c>
    </row>
    <row r="12">
      <c r="A12" s="5" t="n">
        <v>46300</v>
      </c>
      <c r="B12" s="6" t="n">
        <v>0.4251851851851852</v>
      </c>
      <c r="C12" s="23" t="inlineStr">
        <is>
          <t>Enpara</t>
        </is>
      </c>
      <c r="D12" s="8" t="n">
        <v>48.612</v>
      </c>
      <c r="E12" s="8" t="n">
        <v>49.412</v>
      </c>
      <c r="F12" s="8" t="n">
        <v>0.8</v>
      </c>
      <c r="G12" s="9" t="n">
        <v>0.01645684193203324</v>
      </c>
      <c r="H12" s="10" t="n">
        <v>54.3522</v>
      </c>
      <c r="I12" s="10" t="n">
        <v>55.3671</v>
      </c>
      <c r="J12" s="10" t="n">
        <v>1.0149</v>
      </c>
      <c r="K12" s="11" t="n">
        <v>0.01867265722454657</v>
      </c>
      <c r="L12" s="12" t="n">
        <v>6452.31</v>
      </c>
      <c r="M12" s="12" t="n">
        <v>6581.14</v>
      </c>
      <c r="N12" s="12" t="n">
        <v>128.83</v>
      </c>
      <c r="O12" s="13" t="n">
        <v>0.01996649262047236</v>
      </c>
    </row>
    <row r="13">
      <c r="A13" s="5" t="n">
        <v>46300</v>
      </c>
      <c r="B13" s="6" t="n">
        <v>0.4251851851851852</v>
      </c>
      <c r="C13" s="24" t="inlineStr">
        <is>
          <t>Fibabanka</t>
        </is>
      </c>
      <c r="D13" s="8" t="n">
        <v>48.8618</v>
      </c>
      <c r="E13" s="8" t="n">
        <v>49.4695</v>
      </c>
      <c r="F13" s="8" t="n">
        <v>0.6077</v>
      </c>
      <c r="G13" s="9" t="n">
        <v>0.01243711856706057</v>
      </c>
      <c r="H13" s="10" t="n">
        <v>54.6967</v>
      </c>
      <c r="I13" s="10" t="n">
        <v>55.358</v>
      </c>
      <c r="J13" s="10" t="n">
        <v>0.6613</v>
      </c>
      <c r="K13" s="11" t="n">
        <v>0.01209030892174482</v>
      </c>
      <c r="L13" s="12" t="n">
        <v>6535.81</v>
      </c>
      <c r="M13" s="12" t="n">
        <v>6590.03</v>
      </c>
      <c r="N13" s="12" t="n">
        <v>54.22</v>
      </c>
      <c r="O13" s="13" t="n">
        <v>0.008295834793239093</v>
      </c>
    </row>
    <row r="14">
      <c r="A14" s="5" t="n">
        <v>46300</v>
      </c>
      <c r="B14" s="6" t="n">
        <v>0.4251851851851852</v>
      </c>
      <c r="C14" s="25" t="inlineStr">
        <is>
          <t>Garanti BBVA</t>
        </is>
      </c>
      <c r="D14" s="8" t="n">
        <v>48.318</v>
      </c>
      <c r="E14" s="8" t="n">
        <v>49.668</v>
      </c>
      <c r="F14" s="8" t="n">
        <v>1.35</v>
      </c>
      <c r="G14" s="9" t="n">
        <v>0.02793989817459332</v>
      </c>
      <c r="H14" s="10" t="n">
        <v>54.082</v>
      </c>
      <c r="I14" s="10" t="n">
        <v>55.593</v>
      </c>
      <c r="J14" s="10" t="n">
        <v>1.511</v>
      </c>
      <c r="K14" s="11" t="n">
        <v>0.02793905550830221</v>
      </c>
      <c r="L14" s="12" t="n">
        <v>6448.42</v>
      </c>
      <c r="M14" s="12" t="n">
        <v>6685.5</v>
      </c>
      <c r="N14" s="12" t="n">
        <v>237.08</v>
      </c>
      <c r="O14" s="13" t="n">
        <v>0.03676559529311056</v>
      </c>
    </row>
    <row r="15">
      <c r="A15" s="5" t="n">
        <v>46300</v>
      </c>
      <c r="B15" s="6" t="n">
        <v>0.4251851851851852</v>
      </c>
      <c r="C15" s="26" t="inlineStr">
        <is>
          <t>Getirfinans</t>
        </is>
      </c>
      <c r="D15" s="8" t="n">
        <v>48.8618</v>
      </c>
      <c r="E15" s="8" t="n">
        <v>49.4696</v>
      </c>
      <c r="F15" s="8" t="n">
        <v>0.6078</v>
      </c>
      <c r="G15" s="9" t="n">
        <v>0.01243916515560213</v>
      </c>
      <c r="H15" s="10" t="n">
        <v>54.6981</v>
      </c>
      <c r="I15" s="10" t="n">
        <v>55.3596</v>
      </c>
      <c r="J15" s="10" t="n">
        <v>0.6615</v>
      </c>
      <c r="K15" s="11" t="n">
        <v>0.01209365590395279</v>
      </c>
      <c r="L15" s="12" t="n">
        <v>6531.64</v>
      </c>
      <c r="M15" s="12" t="n">
        <v>6585.94</v>
      </c>
      <c r="N15" s="12" t="n">
        <v>54.3</v>
      </c>
      <c r="O15" s="13" t="n">
        <v>0.00831337918195124</v>
      </c>
    </row>
    <row r="16">
      <c r="A16" s="5" t="n">
        <v>46300</v>
      </c>
      <c r="B16" s="6" t="n">
        <v>0.4251851851851852</v>
      </c>
      <c r="C16" s="27" t="inlineStr">
        <is>
          <t>Halkbank</t>
        </is>
      </c>
      <c r="D16" s="8" t="n">
        <v>48.732</v>
      </c>
      <c r="E16" s="8" t="n">
        <v>49.712</v>
      </c>
      <c r="F16" s="8" t="n">
        <v>0.98</v>
      </c>
      <c r="G16" s="9" t="n">
        <v>0.02010998932939342</v>
      </c>
      <c r="H16" s="10" t="n">
        <v>54.5384</v>
      </c>
      <c r="I16" s="10" t="n">
        <v>55.6352</v>
      </c>
      <c r="J16" s="10" t="n">
        <v>1.0968</v>
      </c>
      <c r="K16" s="11" t="n">
        <v>0.02011060097105892</v>
      </c>
      <c r="L16" s="12" t="n">
        <v>6471.69</v>
      </c>
      <c r="M16" s="12" t="n">
        <v>6668.1</v>
      </c>
      <c r="N16" s="12" t="n">
        <v>196.41</v>
      </c>
      <c r="O16" s="13" t="n">
        <v>0.03034910510237666</v>
      </c>
    </row>
    <row r="17">
      <c r="A17" s="5" t="n">
        <v>46300</v>
      </c>
      <c r="B17" s="6" t="n">
        <v>0.4251851851851852</v>
      </c>
      <c r="C17" s="28" t="inlineStr">
        <is>
          <t>Harem</t>
        </is>
      </c>
      <c r="D17" s="8" t="n">
        <v>49.1108</v>
      </c>
      <c r="E17" s="8" t="n">
        <v>49.1678</v>
      </c>
      <c r="F17" s="8" t="n">
        <v>0.057</v>
      </c>
      <c r="G17" s="9" t="n">
        <v>0.001160640836638784</v>
      </c>
      <c r="H17" s="10" t="n">
        <v>54.869</v>
      </c>
      <c r="I17" s="10" t="n">
        <v>55.019</v>
      </c>
      <c r="J17" s="10" t="n">
        <v>0.15</v>
      </c>
      <c r="K17" s="11" t="n">
        <v>0.002733784103956697</v>
      </c>
      <c r="L17" s="12" t="n">
        <v>6541.96</v>
      </c>
      <c r="M17" s="12" t="n">
        <v>6625.99</v>
      </c>
      <c r="N17" s="12" t="n">
        <v>84.03</v>
      </c>
      <c r="O17" s="13" t="n">
        <v>0.01284477434897187</v>
      </c>
    </row>
    <row r="18">
      <c r="A18" s="5" t="n">
        <v>46300</v>
      </c>
      <c r="B18" s="6" t="n">
        <v>0.4251851851851852</v>
      </c>
      <c r="C18" s="29" t="inlineStr">
        <is>
          <t>Hayat Finans</t>
        </is>
      </c>
      <c r="D18" s="8" t="n">
        <v>49.0814</v>
      </c>
      <c r="E18" s="8" t="n">
        <v>49.2305</v>
      </c>
      <c r="F18" s="8" t="n">
        <v>0.1491</v>
      </c>
      <c r="G18" s="9" t="n">
        <v>0.003037810657397711</v>
      </c>
      <c r="H18" s="10" t="n">
        <v>54.9237</v>
      </c>
      <c r="I18" s="10" t="n">
        <v>55.0924</v>
      </c>
      <c r="J18" s="10" t="n">
        <v>0.1687</v>
      </c>
      <c r="K18" s="11" t="n">
        <v>0.003071533782319837</v>
      </c>
      <c r="L18" s="12" t="n">
        <v>6521.59</v>
      </c>
      <c r="M18" s="12" t="n">
        <v>6567.96</v>
      </c>
      <c r="N18" s="12" t="n">
        <v>46.37</v>
      </c>
      <c r="O18" s="13" t="n">
        <v>0.00711022925390894</v>
      </c>
    </row>
    <row r="19">
      <c r="A19" s="5" t="n">
        <v>46300</v>
      </c>
      <c r="B19" s="6" t="n">
        <v>0.4251851851851852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6481.08</v>
      </c>
      <c r="M19" s="12" t="n">
        <v>6671.45</v>
      </c>
      <c r="N19" s="12" t="n">
        <v>190.37</v>
      </c>
      <c r="O19" s="13" t="n">
        <v>0.02937319088793843</v>
      </c>
    </row>
    <row r="20">
      <c r="A20" s="5" t="n">
        <v>46300</v>
      </c>
      <c r="B20" s="6" t="n">
        <v>0.4251851851851852</v>
      </c>
      <c r="C20" s="31" t="inlineStr">
        <is>
          <t>HSBC</t>
        </is>
      </c>
      <c r="D20" s="8" t="n">
        <v>48.6698</v>
      </c>
      <c r="E20" s="8" t="n">
        <v>49.5541</v>
      </c>
      <c r="F20" s="8" t="n">
        <v>0.8843</v>
      </c>
      <c r="G20" s="9" t="n">
        <v>0.01816937813592824</v>
      </c>
      <c r="H20" s="10" t="n">
        <v>54.4628</v>
      </c>
      <c r="I20" s="10" t="n">
        <v>55.5174</v>
      </c>
      <c r="J20" s="10" t="n">
        <v>1.0546</v>
      </c>
      <c r="K20" s="11" t="n">
        <v>0.01936367575666326</v>
      </c>
      <c r="L20" s="12" t="n">
        <v>6464.67</v>
      </c>
      <c r="M20" s="12" t="n">
        <v>6909.75</v>
      </c>
      <c r="N20" s="12" t="n">
        <v>445.08</v>
      </c>
      <c r="O20" s="13" t="n">
        <v>0.06884806185002483</v>
      </c>
    </row>
    <row r="21">
      <c r="A21" s="5" t="n">
        <v>46300</v>
      </c>
      <c r="B21" s="6" t="n">
        <v>0.4251851851851852</v>
      </c>
      <c r="C21" s="32" t="inlineStr">
        <is>
          <t>ING Bank</t>
        </is>
      </c>
      <c r="D21" s="8" t="n">
        <v>48.6157</v>
      </c>
      <c r="E21" s="8" t="n">
        <v>49.6193</v>
      </c>
      <c r="F21" s="8" t="n">
        <v>1.0036</v>
      </c>
      <c r="G21" s="9" t="n">
        <v>0.02064353696439628</v>
      </c>
      <c r="H21" s="10" t="n">
        <v>54.4681</v>
      </c>
      <c r="I21" s="10" t="n">
        <v>55.4748</v>
      </c>
      <c r="J21" s="10" t="n">
        <v>1.0067</v>
      </c>
      <c r="K21" s="11" t="n">
        <v>0.01848237775872483</v>
      </c>
      <c r="L21" s="12" t="n">
        <v>6409.06</v>
      </c>
      <c r="M21" s="12" t="n">
        <v>6711.06</v>
      </c>
      <c r="N21" s="12" t="n">
        <v>302</v>
      </c>
      <c r="O21" s="13" t="n">
        <v>0.04712079462510883</v>
      </c>
    </row>
    <row r="22">
      <c r="A22" s="5" t="n">
        <v>46300</v>
      </c>
      <c r="B22" s="6" t="n">
        <v>0.4251851851851852</v>
      </c>
      <c r="C22" s="33" t="inlineStr">
        <is>
          <t>İş Bankası</t>
        </is>
      </c>
      <c r="D22" s="8" t="n">
        <v>48.5332</v>
      </c>
      <c r="E22" s="8" t="n">
        <v>49.7083</v>
      </c>
      <c r="F22" s="8" t="n">
        <v>1.1751</v>
      </c>
      <c r="G22" s="9" t="n">
        <v>0.02421229179201042</v>
      </c>
      <c r="H22" s="10" t="n">
        <v>54.3172</v>
      </c>
      <c r="I22" s="10" t="n">
        <v>55.6396</v>
      </c>
      <c r="J22" s="10" t="n">
        <v>1.3224</v>
      </c>
      <c r="K22" s="11" t="n">
        <v>0.02434587938995383</v>
      </c>
      <c r="L22" s="12" t="n">
        <v>6456.77</v>
      </c>
      <c r="M22" s="12" t="n">
        <v>6634.05</v>
      </c>
      <c r="N22" s="12" t="n">
        <v>177.28</v>
      </c>
      <c r="O22" s="13" t="n">
        <v>0.02745645268454661</v>
      </c>
    </row>
    <row r="23">
      <c r="A23" s="5" t="n">
        <v>46300</v>
      </c>
      <c r="B23" s="6" t="n">
        <v>0.4251851851851852</v>
      </c>
      <c r="C23" s="34" t="inlineStr">
        <is>
          <t>Kapalıçarşı</t>
        </is>
      </c>
      <c r="D23" s="8" t="n">
        <v>49.14</v>
      </c>
      <c r="E23" s="8" t="n">
        <v>49.15</v>
      </c>
      <c r="F23" s="8" t="n">
        <v>0.01</v>
      </c>
      <c r="G23" s="9" t="n">
        <v>0.0002035002035002035</v>
      </c>
      <c r="H23" s="10" t="n">
        <v>55.22</v>
      </c>
      <c r="I23" s="10" t="n">
        <v>55.27</v>
      </c>
      <c r="J23" s="10" t="n">
        <v>0.05</v>
      </c>
      <c r="K23" s="11" t="n">
        <v>0.0009054690329590729</v>
      </c>
      <c r="L23" s="12" t="n">
        <v>6575.87</v>
      </c>
      <c r="M23" s="12" t="n">
        <v>6582.15</v>
      </c>
      <c r="N23" s="12" t="n">
        <v>6.28</v>
      </c>
      <c r="O23" s="13" t="n">
        <v>0.0009550067139405128</v>
      </c>
    </row>
    <row r="24">
      <c r="A24" s="5" t="n">
        <v>46300</v>
      </c>
      <c r="B24" s="6" t="n">
        <v>0.4251851851851852</v>
      </c>
      <c r="C24" s="35" t="inlineStr">
        <is>
          <t>Kuveyt Türk</t>
        </is>
      </c>
      <c r="D24" s="8" t="n">
        <v>48.626</v>
      </c>
      <c r="E24" s="8" t="n">
        <v>49.6095</v>
      </c>
      <c r="F24" s="8" t="n">
        <v>0.9835</v>
      </c>
      <c r="G24" s="9" t="n">
        <v>0.02022580512483034</v>
      </c>
      <c r="H24" s="10" t="n">
        <v>54.264</v>
      </c>
      <c r="I24" s="10" t="n">
        <v>55.3653</v>
      </c>
      <c r="J24" s="10" t="n">
        <v>1.1013</v>
      </c>
      <c r="K24" s="11" t="n">
        <v>0.02029522335249889</v>
      </c>
      <c r="L24" s="12" t="n">
        <v>6429.31</v>
      </c>
      <c r="M24" s="12" t="n">
        <v>6599.51</v>
      </c>
      <c r="N24" s="12" t="n">
        <v>170.2</v>
      </c>
      <c r="O24" s="13" t="n">
        <v>0.02647251415781787</v>
      </c>
    </row>
    <row r="25">
      <c r="A25" s="5" t="n">
        <v>46300</v>
      </c>
      <c r="B25" s="6" t="n">
        <v>0.4251851851851852</v>
      </c>
      <c r="C25" s="36" t="inlineStr">
        <is>
          <t>Merkez Bankası</t>
        </is>
      </c>
      <c r="D25" s="8" t="n">
        <v>48.9699</v>
      </c>
      <c r="E25" s="8" t="n">
        <v>49.0582</v>
      </c>
      <c r="F25" s="8" t="n">
        <v>0.0883</v>
      </c>
      <c r="G25" s="9" t="n">
        <v>0.001803148464669113</v>
      </c>
      <c r="H25" s="10" t="n">
        <v>55.0826</v>
      </c>
      <c r="I25" s="10" t="n">
        <v>55.1819</v>
      </c>
      <c r="J25" s="10" t="n">
        <v>0.0993</v>
      </c>
      <c r="K25" s="11" t="n">
        <v>0.001802747147011942</v>
      </c>
      <c r="L25" s="12" t="n"/>
      <c r="M25" s="12" t="n"/>
      <c r="N25" s="12" t="n"/>
      <c r="O25" s="13" t="n"/>
    </row>
    <row r="26">
      <c r="A26" s="5" t="n">
        <v>46300</v>
      </c>
      <c r="B26" s="6" t="n">
        <v>0.4251851851851852</v>
      </c>
      <c r="C26" s="37" t="inlineStr">
        <is>
          <t>Misyon Bank</t>
        </is>
      </c>
      <c r="D26" s="8" t="n">
        <v>49.0703</v>
      </c>
      <c r="E26" s="8" t="n">
        <v>49.1604</v>
      </c>
      <c r="F26" s="8" t="n">
        <v>0.0901</v>
      </c>
      <c r="G26" s="9" t="n">
        <v>0.001836141209652274</v>
      </c>
      <c r="H26" s="10" t="n">
        <v>54.8943</v>
      </c>
      <c r="I26" s="10" t="n">
        <v>55.0401</v>
      </c>
      <c r="J26" s="10" t="n">
        <v>0.1458</v>
      </c>
      <c r="K26" s="11" t="n">
        <v>0.002656013465878971</v>
      </c>
      <c r="L26" s="12" t="n">
        <v>6508.35</v>
      </c>
      <c r="M26" s="12" t="n">
        <v>6542.44</v>
      </c>
      <c r="N26" s="12" t="n">
        <v>34.09</v>
      </c>
      <c r="O26" s="13" t="n">
        <v>0.005237886714758733</v>
      </c>
    </row>
    <row r="27">
      <c r="A27" s="5" t="n">
        <v>46300</v>
      </c>
      <c r="B27" s="6" t="n">
        <v>0.4251851851851852</v>
      </c>
      <c r="C27" s="38" t="inlineStr">
        <is>
          <t>Odacı</t>
        </is>
      </c>
      <c r="D27" s="8" t="n">
        <v>49.081</v>
      </c>
      <c r="E27" s="8" t="n">
        <v>49.228</v>
      </c>
      <c r="F27" s="8" t="n">
        <v>0.147</v>
      </c>
      <c r="G27" s="9" t="n">
        <v>0.002995049000631609</v>
      </c>
      <c r="H27" s="10" t="n">
        <v>54.863</v>
      </c>
      <c r="I27" s="10" t="n">
        <v>55.119</v>
      </c>
      <c r="J27" s="10" t="n">
        <v>0.256</v>
      </c>
      <c r="K27" s="11" t="n">
        <v>0.004666168455972149</v>
      </c>
      <c r="L27" s="12" t="n">
        <v>6557</v>
      </c>
      <c r="M27" s="12" t="n">
        <v>6614</v>
      </c>
      <c r="N27" s="12" t="n">
        <v>57</v>
      </c>
      <c r="O27" s="13" t="n">
        <v>0.00869299984749123</v>
      </c>
    </row>
    <row r="28">
      <c r="A28" s="5" t="n">
        <v>46300</v>
      </c>
      <c r="B28" s="6" t="n">
        <v>0.4251851851851852</v>
      </c>
      <c r="C28" s="39" t="inlineStr">
        <is>
          <t>Odeabank</t>
        </is>
      </c>
      <c r="D28" s="8" t="n">
        <v>48.625</v>
      </c>
      <c r="E28" s="8" t="n">
        <v>49.625</v>
      </c>
      <c r="F28" s="8" t="n">
        <v>1</v>
      </c>
      <c r="G28" s="9" t="n">
        <v>0.02056555269922879</v>
      </c>
      <c r="H28" s="10" t="n">
        <v>54.439</v>
      </c>
      <c r="I28" s="10" t="n">
        <v>55.529</v>
      </c>
      <c r="J28" s="10" t="n">
        <v>1.09</v>
      </c>
      <c r="K28" s="11" t="n">
        <v>0.02002241040430574</v>
      </c>
      <c r="L28" s="12" t="n">
        <v>6510.97</v>
      </c>
      <c r="M28" s="12" t="n">
        <v>6610.97</v>
      </c>
      <c r="N28" s="12" t="n">
        <v>100</v>
      </c>
      <c r="O28" s="13" t="n">
        <v>0.01535869463382568</v>
      </c>
    </row>
    <row r="29">
      <c r="A29" s="5" t="n">
        <v>46300</v>
      </c>
      <c r="B29" s="6" t="n">
        <v>0.4251851851851852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6482.45</v>
      </c>
      <c r="M29" s="12" t="n">
        <v>6659.53</v>
      </c>
      <c r="N29" s="12" t="n">
        <v>177.08</v>
      </c>
      <c r="O29" s="13" t="n">
        <v>0.02731683237047721</v>
      </c>
    </row>
    <row r="30">
      <c r="A30" s="5" t="n">
        <v>46300</v>
      </c>
      <c r="B30" s="6" t="n">
        <v>0.4251851851851852</v>
      </c>
      <c r="C30" s="41" t="inlineStr">
        <is>
          <t>QNB Finansbank</t>
        </is>
      </c>
      <c r="D30" s="8" t="n">
        <v>48.402</v>
      </c>
      <c r="E30" s="8" t="n">
        <v>49.922</v>
      </c>
      <c r="F30" s="8" t="n">
        <v>1.52</v>
      </c>
      <c r="G30" s="9" t="n">
        <v>0.03140366100574356</v>
      </c>
      <c r="H30" s="10" t="n">
        <v>54.0583</v>
      </c>
      <c r="I30" s="10" t="n">
        <v>56.0006</v>
      </c>
      <c r="J30" s="10" t="n">
        <v>1.9423</v>
      </c>
      <c r="K30" s="11" t="n">
        <v>0.0359297277198876</v>
      </c>
      <c r="L30" s="12" t="n">
        <v>6417.46</v>
      </c>
      <c r="M30" s="12" t="n">
        <v>6648.13</v>
      </c>
      <c r="N30" s="12" t="n">
        <v>230.67</v>
      </c>
      <c r="O30" s="13" t="n">
        <v>0.03594412742736223</v>
      </c>
    </row>
    <row r="31">
      <c r="A31" s="5" t="n">
        <v>46300</v>
      </c>
      <c r="B31" s="6" t="n">
        <v>0.4251851851851852</v>
      </c>
      <c r="C31" s="42" t="inlineStr">
        <is>
          <t>TOM Bank Hadi</t>
        </is>
      </c>
      <c r="D31" s="8" t="n">
        <v>49.0301</v>
      </c>
      <c r="E31" s="8" t="n">
        <v>49.2513</v>
      </c>
      <c r="F31" s="8" t="n">
        <v>0.2212</v>
      </c>
      <c r="G31" s="9" t="n">
        <v>0.004511514355467356</v>
      </c>
      <c r="H31" s="10" t="n">
        <v>54.7949</v>
      </c>
      <c r="I31" s="10" t="n">
        <v>55.125</v>
      </c>
      <c r="J31" s="10" t="n">
        <v>0.3301</v>
      </c>
      <c r="K31" s="11" t="n">
        <v>0.006024283281838273</v>
      </c>
      <c r="L31" s="12" t="n">
        <v>6493.26</v>
      </c>
      <c r="M31" s="12" t="n">
        <v>6571.65</v>
      </c>
      <c r="N31" s="12" t="n">
        <v>78.39</v>
      </c>
      <c r="O31" s="13" t="n">
        <v>0.01207251827279364</v>
      </c>
    </row>
    <row r="32">
      <c r="A32" s="5" t="n">
        <v>46300</v>
      </c>
      <c r="B32" s="6" t="n">
        <v>0.4251851851851852</v>
      </c>
      <c r="C32" s="43" t="inlineStr">
        <is>
          <t>Türkiye Finans</t>
        </is>
      </c>
      <c r="D32" s="8" t="n">
        <v>48.7155</v>
      </c>
      <c r="E32" s="8" t="n">
        <v>49.518</v>
      </c>
      <c r="F32" s="8" t="n">
        <v>0.8025</v>
      </c>
      <c r="G32" s="9" t="n">
        <v>0.01647319641592512</v>
      </c>
      <c r="H32" s="10" t="n">
        <v>54.5421</v>
      </c>
      <c r="I32" s="10" t="n">
        <v>55.3933</v>
      </c>
      <c r="J32" s="10" t="n">
        <v>0.8512</v>
      </c>
      <c r="K32" s="11" t="n">
        <v>0.01560629312036024</v>
      </c>
      <c r="L32" s="12" t="n">
        <v>6465.36</v>
      </c>
      <c r="M32" s="12" t="n">
        <v>6661.56</v>
      </c>
      <c r="N32" s="12" t="n">
        <v>196.2</v>
      </c>
      <c r="O32" s="13" t="n">
        <v>0.03034633802294072</v>
      </c>
    </row>
    <row r="33">
      <c r="A33" s="5" t="n">
        <v>46300</v>
      </c>
      <c r="B33" s="6" t="n">
        <v>0.4251851851851852</v>
      </c>
      <c r="C33" s="44" t="inlineStr">
        <is>
          <t>Vakıf Katılım</t>
        </is>
      </c>
      <c r="D33" s="8" t="n">
        <v>49.0166</v>
      </c>
      <c r="E33" s="8" t="n">
        <v>49.2234</v>
      </c>
      <c r="F33" s="8" t="n">
        <v>0.2068</v>
      </c>
      <c r="G33" s="9" t="n">
        <v>0.004218978876543864</v>
      </c>
      <c r="H33" s="10" t="n">
        <v>54.857</v>
      </c>
      <c r="I33" s="10" t="n">
        <v>55.078</v>
      </c>
      <c r="J33" s="10" t="n">
        <v>0.221</v>
      </c>
      <c r="K33" s="11" t="n">
        <v>0.004028656324625846</v>
      </c>
      <c r="L33" s="12" t="n">
        <v>6502.67</v>
      </c>
      <c r="M33" s="12" t="n">
        <v>6554.9</v>
      </c>
      <c r="N33" s="12" t="n">
        <v>52.23</v>
      </c>
      <c r="O33" s="13" t="n">
        <v>0.0080320852818919</v>
      </c>
    </row>
    <row r="34">
      <c r="A34" s="5" t="n">
        <v>46300</v>
      </c>
      <c r="B34" s="6" t="n">
        <v>0.4251851851851852</v>
      </c>
      <c r="C34" s="45" t="inlineStr">
        <is>
          <t>Vakıfbank</t>
        </is>
      </c>
      <c r="D34" s="8" t="n">
        <v>48.7454</v>
      </c>
      <c r="E34" s="8" t="n">
        <v>49.7291</v>
      </c>
      <c r="F34" s="8" t="n">
        <v>0.9837</v>
      </c>
      <c r="G34" s="9" t="n">
        <v>0.02018036573707468</v>
      </c>
      <c r="H34" s="10" t="n">
        <v>54.5656</v>
      </c>
      <c r="I34" s="10" t="n">
        <v>55.6615</v>
      </c>
      <c r="J34" s="10" t="n">
        <v>1.0959</v>
      </c>
      <c r="K34" s="11" t="n">
        <v>0.02008408227894498</v>
      </c>
      <c r="L34" s="12" t="n">
        <v>6468.39</v>
      </c>
      <c r="M34" s="12" t="n">
        <v>6610.99</v>
      </c>
      <c r="N34" s="12" t="n">
        <v>142.6</v>
      </c>
      <c r="O34" s="13" t="n">
        <v>0.02204567133397955</v>
      </c>
    </row>
    <row r="35">
      <c r="A35" s="5" t="n">
        <v>46300</v>
      </c>
      <c r="B35" s="6" t="n">
        <v>0.4251851851851852</v>
      </c>
      <c r="C35" s="46" t="inlineStr">
        <is>
          <t>Venüs</t>
        </is>
      </c>
      <c r="D35" s="8" t="n">
        <v>49.1</v>
      </c>
      <c r="E35" s="8" t="n">
        <v>49.16</v>
      </c>
      <c r="F35" s="8" t="n">
        <v>0.06</v>
      </c>
      <c r="G35" s="9" t="n">
        <v>0.001221995926680244</v>
      </c>
      <c r="H35" s="10" t="n">
        <v>54.869</v>
      </c>
      <c r="I35" s="10" t="n">
        <v>55.035</v>
      </c>
      <c r="J35" s="10" t="n">
        <v>0.166</v>
      </c>
      <c r="K35" s="11" t="n">
        <v>0.003025387741712078</v>
      </c>
      <c r="L35" s="12" t="n"/>
      <c r="M35" s="12" t="n"/>
      <c r="N35" s="12" t="n"/>
      <c r="O35" s="13" t="n"/>
    </row>
    <row r="36">
      <c r="A36" s="5" t="n">
        <v>46300</v>
      </c>
      <c r="B36" s="6" t="n">
        <v>0.4251851851851852</v>
      </c>
      <c r="C36" s="47" t="inlineStr">
        <is>
          <t>Yapıkredi</t>
        </is>
      </c>
      <c r="D36" s="8" t="n">
        <v>48.62</v>
      </c>
      <c r="E36" s="8" t="n">
        <v>49.62</v>
      </c>
      <c r="F36" s="8" t="n">
        <v>1</v>
      </c>
      <c r="G36" s="9" t="n">
        <v>0.02056766762649116</v>
      </c>
      <c r="H36" s="10" t="n">
        <v>54.41</v>
      </c>
      <c r="I36" s="10" t="n">
        <v>55.53</v>
      </c>
      <c r="J36" s="10" t="n">
        <v>1.12</v>
      </c>
      <c r="K36" s="11" t="n">
        <v>0.02058445138761257</v>
      </c>
      <c r="L36" s="12" t="n">
        <v>6457.04</v>
      </c>
      <c r="M36" s="12" t="n">
        <v>6657.88</v>
      </c>
      <c r="N36" s="12" t="n">
        <v>200.84</v>
      </c>
      <c r="O36" s="13" t="n">
        <v>0.03110403528551782</v>
      </c>
    </row>
    <row r="37">
      <c r="A37" s="5" t="n">
        <v>46300</v>
      </c>
      <c r="B37" s="6" t="n">
        <v>0.4251851851851852</v>
      </c>
      <c r="C37" s="48" t="inlineStr">
        <is>
          <t>Ziraat Bankası</t>
        </is>
      </c>
      <c r="D37" s="8" t="n">
        <v>48.7483</v>
      </c>
      <c r="E37" s="8" t="n">
        <v>49.7345</v>
      </c>
      <c r="F37" s="8" t="n">
        <v>0.9862</v>
      </c>
      <c r="G37" s="9" t="n">
        <v>0.02023044906181344</v>
      </c>
      <c r="H37" s="10" t="n">
        <v>54.5238</v>
      </c>
      <c r="I37" s="10" t="n">
        <v>55.6268</v>
      </c>
      <c r="J37" s="10" t="n">
        <v>1.103</v>
      </c>
      <c r="K37" s="11" t="n">
        <v>0.02022969785671578</v>
      </c>
      <c r="L37" s="12" t="n">
        <v>6504.8</v>
      </c>
      <c r="M37" s="12" t="n">
        <v>6636.15</v>
      </c>
      <c r="N37" s="12" t="n">
        <v>131.35</v>
      </c>
      <c r="O37" s="13" t="n">
        <v>0.02019278071577911</v>
      </c>
    </row>
    <row r="38">
      <c r="A38" s="5" t="n">
        <v>46300</v>
      </c>
      <c r="B38" s="6" t="n">
        <v>0.4251851851851852</v>
      </c>
      <c r="C38" s="49" t="inlineStr">
        <is>
          <t>Ziraat Dinamik</t>
        </is>
      </c>
      <c r="D38" s="8" t="n">
        <v>48.797</v>
      </c>
      <c r="E38" s="8" t="n">
        <v>49.461</v>
      </c>
      <c r="F38" s="8" t="n">
        <v>0.664</v>
      </c>
      <c r="G38" s="9" t="n">
        <v>0.01360739389716581</v>
      </c>
      <c r="H38" s="10" t="n">
        <v>54.5609</v>
      </c>
      <c r="I38" s="10" t="n">
        <v>55.3585</v>
      </c>
      <c r="J38" s="10" t="n">
        <v>0.7976</v>
      </c>
      <c r="K38" s="11" t="n">
        <v>0.01461852718705153</v>
      </c>
      <c r="L38" s="12" t="n">
        <v>6469.5</v>
      </c>
      <c r="M38" s="12" t="n">
        <v>6600.13</v>
      </c>
      <c r="N38" s="12" t="n">
        <v>130.63</v>
      </c>
      <c r="O38" s="13" t="n">
        <v>0.0201916685988098</v>
      </c>
    </row>
    <row r="39">
      <c r="A39" s="5" t="n">
        <v>46300</v>
      </c>
      <c r="B39" s="6" t="n">
        <v>0.4251851851851852</v>
      </c>
      <c r="C39" s="50" t="inlineStr">
        <is>
          <t>Ziraat Katılım</t>
        </is>
      </c>
      <c r="D39" s="8" t="n">
        <v>48.6236</v>
      </c>
      <c r="E39" s="8" t="n">
        <v>49.6385</v>
      </c>
      <c r="F39" s="8" t="n">
        <v>1.0149</v>
      </c>
      <c r="G39" s="9" t="n">
        <v>0.02087258039306016</v>
      </c>
      <c r="H39" s="10" t="n">
        <v>54.3892</v>
      </c>
      <c r="I39" s="10" t="n">
        <v>55.5793</v>
      </c>
      <c r="J39" s="10" t="n">
        <v>1.1901</v>
      </c>
      <c r="K39" s="11" t="n">
        <v>0.02188118229354357</v>
      </c>
      <c r="L39" s="12" t="n">
        <v>6492.7</v>
      </c>
      <c r="M39" s="12" t="n">
        <v>6698.74</v>
      </c>
      <c r="N39" s="12" t="n">
        <v>206.04</v>
      </c>
      <c r="O39" s="13" t="n">
        <v>0.03173410137539082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</hyperlinks>
  <pageMargins left="0.75" right="0.75" top="1" bottom="1" header="0.5" footer="0.5"/>
  <tableParts count="1">
    <tablePart xmlns:r="http://schemas.openxmlformats.org/officeDocument/2006/relationships" r:id="rId420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46300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0.4251851851851852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0.02023044906181344</v>
      </c>
      <c r="O5" s="73" t="inlineStr">
        <is>
          <t>Ziraat Bankası</t>
        </is>
      </c>
      <c r="P5" s="74" t="n">
        <v>48.7483</v>
      </c>
      <c r="Q5" s="74" t="n">
        <v>49.7345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0.02022969785671578</v>
      </c>
      <c r="O6" s="73" t="inlineStr">
        <is>
          <t>Ziraat Bankası</t>
        </is>
      </c>
      <c r="P6" s="74" t="n">
        <v>54.5238</v>
      </c>
      <c r="Q6" s="74" t="n">
        <v>55.6268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0.02019278071577911</v>
      </c>
      <c r="O7" s="73" t="inlineStr">
        <is>
          <t>Ziraat Bankası</t>
        </is>
      </c>
      <c r="P7" s="74" t="n">
        <v>6504.8</v>
      </c>
      <c r="Q7" s="74" t="n">
        <v>6636.15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0.03349218009761287</v>
      </c>
      <c r="I15" s="69" t="n">
        <v>0.03348644521853655</v>
      </c>
      <c r="J15" s="70" t="n">
        <v>0.0502828667029448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0.03944014370309673</v>
      </c>
      <c r="I16" s="69" t="n">
        <v>0.03955143793883974</v>
      </c>
      <c r="J16" s="70" t="n">
        <v>0.05492027864814052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0.03451674483412603</v>
      </c>
      <c r="I17" s="69" t="n">
        <v>0.03269473640806327</v>
      </c>
      <c r="J17" s="70" t="n">
        <v>0.05176391721322413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0.03648986581024079</v>
      </c>
      <c r="I18" s="69" t="n">
        <v>0.03649088652858554</v>
      </c>
      <c r="J18" s="70" t="n">
        <v>0.0699906622038832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0.03689723426656977</v>
      </c>
      <c r="I19" s="69" t="n">
        <v>0.03699885177027457</v>
      </c>
      <c r="J19" s="70" t="n">
        <v>0.06973855727652623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0.03349218009761287</v>
      </c>
      <c r="V4" s="55" t="n">
        <v>0.03944014370309673</v>
      </c>
      <c r="W4" s="55" t="n">
        <v>0.03451674483412603</v>
      </c>
      <c r="X4" s="55" t="n">
        <v>0.03648986581024079</v>
      </c>
      <c r="Y4" s="55" t="n">
        <v>0.03689723426656977</v>
      </c>
      <c r="Z4" s="55" t="n">
        <v>0.03348644521853655</v>
      </c>
      <c r="AA4" s="55" t="n">
        <v>0.03955143793883974</v>
      </c>
      <c r="AB4" s="55" t="n">
        <v>0.03269473640806327</v>
      </c>
      <c r="AC4" s="55" t="n">
        <v>0.03649088652858554</v>
      </c>
      <c r="AD4" s="55" t="n">
        <v>0.03699885177027457</v>
      </c>
      <c r="AE4" s="55" t="n">
        <v>0.0502828667029448</v>
      </c>
      <c r="AF4" s="55" t="n">
        <v>0.05492027864814052</v>
      </c>
      <c r="AG4" s="55" t="n">
        <v>0.05176391721322413</v>
      </c>
      <c r="AH4" s="55" t="n">
        <v>0.0699906622038832</v>
      </c>
      <c r="AI4" s="55" t="n">
        <v>0.06973855727652623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2026-10-05T07:12:50Z</dcterms:created>
  <dcterms:modified xsi:type="dcterms:W3CDTF">2026-10-05T07:12:51Z</dcterms:modified>
</cp:coreProperties>
</file>