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'GRAFIK_VERILERI'!$B$2:$B$21</f>
              <numCache>
                <formatCode>0.00%</formatCode>
                <ptCount val="2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'GRAFIK_VERILERI'!$C$2:$C$21</f>
              <numCache>
                <formatCode>0.00%</formatCode>
                <ptCount val="2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'GRAFIK_VERILERI'!$D$2:$D$21</f>
              <numCache>
                <formatCode>0.00%</formatCode>
                <ptCount val="2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'GRAFIK_VERILERI'!$E$2:$E$21</f>
              <numCache>
                <formatCode>0.00%</formatCode>
                <ptCount val="2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'GRAFIK_VERILERI'!$F$2:$F$21</f>
              <numCache>
                <formatCode>0.00%</formatCode>
                <ptCount val="2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493316506896"/>
          <min val="0.012248437061663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'GRAFIK_VERILERI'!$G$2:$G$21</f>
              <numCache>
                <formatCode>0.00%</formatCode>
                <ptCount val="2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'GRAFIK_VERILERI'!$H$2:$H$21</f>
              <numCache>
                <formatCode>0.00%</formatCode>
                <ptCount val="2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'GRAFIK_VERILERI'!$I$2:$I$21</f>
              <numCache>
                <formatCode>0.00%</formatCode>
                <ptCount val="2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'GRAFIK_VERILERI'!$J$2:$J$21</f>
              <numCache>
                <formatCode>0.00%</formatCode>
                <ptCount val="2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'GRAFIK_VERILERI'!$K$2:$K$21</f>
              <numCache>
                <formatCode>0.00%</formatCode>
                <ptCount val="2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'GRAFIK_VERILERI'!$L$2:$L$21</f>
              <numCache>
                <formatCode>0.00%</formatCode>
                <ptCount val="2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'GRAFIK_VERILERI'!$M$2:$M$21</f>
              <numCache>
                <formatCode>0.00%</formatCode>
                <ptCount val="2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'GRAFIK_VERILERI'!$N$2:$N$21</f>
              <numCache>
                <formatCode>0.00%</formatCode>
                <ptCount val="2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'GRAFIK_VERILERI'!$O$2:$O$21</f>
              <numCache>
                <formatCode>0.00%</formatCode>
                <ptCount val="2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'GRAFIK_VERILERI'!$P$2:$P$21</f>
              <numCache>
                <formatCode>0.00%</formatCode>
                <ptCount val="2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0.03183894085499176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0.03560592314164079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0.02850299630856682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0.03039223377525381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0.0320353268982854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7318324539817"/>
          <min val="0.025637319751588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0.03184062768283041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0.03573610529303327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0.02670801527192956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0.0303923053684615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0.03215716366486877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15987183661688"/>
          <min val="0.0229969035461007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0.04535341608000135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0.04823085100724192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0.04141932488690064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0.05131585500668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0.05304326192642525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7706530234535"/>
          <min val="0.0323734994777850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'GRAFIK_VERILERI'!$B$2:$B$21</f>
              <numCache>
                <formatCode>0.00%</formatCode>
                <ptCount val="2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1860246265"/>
          <min val="0.025372477438477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'GRAFIK_VERILERI'!$G$2:$G$21</f>
              <numCache>
                <formatCode>0.00%</formatCode>
                <ptCount val="2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775724358462"/>
          <min val="0.0253765482993078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'GRAFIK_VERILERI'!$L$2:$L$21</f>
              <numCache>
                <formatCode>0.00%</formatCode>
                <ptCount val="2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366733020389"/>
          <min val="0.0301325911308051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'GRAFIK_VERILERI'!$C$2:$C$21</f>
              <numCache>
                <formatCode>0.00%</formatCode>
                <ptCount val="2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310082666498"/>
          <min val="0.0222989453533321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'GRAFIK_VERILERI'!$H$2:$H$21</f>
              <numCache>
                <formatCode>0.00%</formatCode>
                <ptCount val="2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824431467956"/>
          <min val="0.0222436119581000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'GRAFIK_VERILERI'!$M$2:$M$21</f>
              <numCache>
                <formatCode>0.00%</formatCode>
                <ptCount val="2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8575416571471"/>
          <min val="0.0260025144284759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'GRAFIK_VERILERI'!$D$2:$D$21</f>
              <numCache>
                <formatCode>0.00%</formatCode>
                <ptCount val="2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836726024003"/>
          <min val="0.010845541119410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'GRAFIK_VERILERI'!$I$2:$I$21</f>
              <numCache>
                <formatCode>0.00%</formatCode>
                <ptCount val="2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'GRAFIK_VERILERI'!$N$2:$N$21</f>
              <numCache>
                <formatCode>0.00%</formatCode>
                <ptCount val="2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'GRAFIK_VERILERI'!$E$2:$E$21</f>
              <numCache>
                <formatCode>0.00%</formatCode>
                <ptCount val="2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'GRAFIK_VERILERI'!$J$2:$J$21</f>
              <numCache>
                <formatCode>0.00%</formatCode>
                <ptCount val="2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'GRAFIK_VERILERI'!$O$2:$O$21</f>
              <numCache>
                <formatCode>0.00%</formatCode>
                <ptCount val="2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'GRAFIK_VERILERI'!$F$2:$F$21</f>
              <numCache>
                <formatCode>0.00%</formatCode>
                <ptCount val="2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'GRAFIK_VERILERI'!$K$2:$K$21</f>
              <numCache>
                <formatCode>0.00%</formatCode>
                <ptCount val="2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'GRAFIK_VERILERI'!$A$2:$A$21</f>
              <strCache>
                <ptCount val="2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</strCache>
            </strRef>
          </cat>
          <val>
            <numRef>
              <f>'GRAFIK_VERILERI'!$P$2:$P$21</f>
              <numCache>
                <formatCode>0.00%</formatCode>
                <ptCount val="2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161" headerRowCount="1">
  <autoFilter ref="A1:N216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table" Target="/xl/tables/table2.xml" Id="rId216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46281</v>
      </c>
      <c r="B2" s="6" t="n">
        <v>0.4689814814814815</v>
      </c>
      <c r="C2" s="7" t="inlineStr">
        <is>
          <t>Akbank</t>
        </is>
      </c>
      <c r="D2" s="8" t="n">
        <v>47.861</v>
      </c>
      <c r="E2" s="8" t="n">
        <v>49.211</v>
      </c>
      <c r="F2" s="8" t="n">
        <v>1.35</v>
      </c>
      <c r="G2" s="9" t="n">
        <v>0.02820668184952257</v>
      </c>
      <c r="H2" s="10" t="n">
        <v>55.2607</v>
      </c>
      <c r="I2" s="10" t="n">
        <v>56.8194</v>
      </c>
      <c r="J2" s="10" t="n">
        <v>1.5587</v>
      </c>
      <c r="K2" s="11" t="n">
        <v>0.02820630212791369</v>
      </c>
      <c r="L2" s="12" t="n">
        <v>6589.46</v>
      </c>
      <c r="M2" s="12" t="n">
        <v>6825.74</v>
      </c>
      <c r="N2" s="12" t="n">
        <v>236.28</v>
      </c>
      <c r="O2" s="13" t="n">
        <v>0.03585726296236717</v>
      </c>
    </row>
    <row r="3">
      <c r="A3" s="5" t="n">
        <v>46281</v>
      </c>
      <c r="B3" s="6" t="n">
        <v>0.4689814814814815</v>
      </c>
      <c r="C3" s="14" t="inlineStr">
        <is>
          <t>Albaraka Türk</t>
        </is>
      </c>
      <c r="D3" s="8" t="n">
        <v>48.257</v>
      </c>
      <c r="E3" s="8" t="n">
        <v>49.038</v>
      </c>
      <c r="F3" s="8" t="n">
        <v>0.781</v>
      </c>
      <c r="G3" s="9" t="n">
        <v>0.01618418053339412</v>
      </c>
      <c r="H3" s="10" t="n">
        <v>55.712</v>
      </c>
      <c r="I3" s="10" t="n">
        <v>56.625</v>
      </c>
      <c r="J3" s="10" t="n">
        <v>0.913</v>
      </c>
      <c r="K3" s="11" t="n">
        <v>0.016387851809305</v>
      </c>
      <c r="L3" s="12" t="n">
        <v>6663.11</v>
      </c>
      <c r="M3" s="12" t="n">
        <v>6799.34</v>
      </c>
      <c r="N3" s="12" t="n">
        <v>136.23</v>
      </c>
      <c r="O3" s="13" t="n">
        <v>0.02044540762496792</v>
      </c>
    </row>
    <row r="4">
      <c r="A4" s="5" t="n">
        <v>46281</v>
      </c>
      <c r="B4" s="6" t="n">
        <v>0.4689814814814815</v>
      </c>
      <c r="C4" s="15" t="inlineStr">
        <is>
          <t>Alternatif Bank</t>
        </is>
      </c>
      <c r="D4" s="8" t="n">
        <v>48.445</v>
      </c>
      <c r="E4" s="8" t="n">
        <v>48.73</v>
      </c>
      <c r="F4" s="8" t="n">
        <v>0.285</v>
      </c>
      <c r="G4" s="9" t="n">
        <v>0.005882960057797502</v>
      </c>
      <c r="H4" s="10" t="n">
        <v>55.756</v>
      </c>
      <c r="I4" s="10" t="n">
        <v>56.27</v>
      </c>
      <c r="J4" s="10" t="n">
        <v>0.514</v>
      </c>
      <c r="K4" s="11" t="n">
        <v>0.009218738790444077</v>
      </c>
      <c r="L4" s="12" t="n">
        <v>6726.44</v>
      </c>
      <c r="M4" s="12" t="n">
        <v>6792.82</v>
      </c>
      <c r="N4" s="12" t="n">
        <v>66.38</v>
      </c>
      <c r="O4" s="13" t="n">
        <v>0.009868518859902118</v>
      </c>
    </row>
    <row r="5">
      <c r="A5" s="5" t="n">
        <v>46281</v>
      </c>
      <c r="B5" s="6" t="n">
        <v>0.4689814814814815</v>
      </c>
      <c r="C5" s="16" t="inlineStr">
        <is>
          <t>Altınkaynak</t>
        </is>
      </c>
      <c r="D5" s="8" t="n">
        <v>48.55</v>
      </c>
      <c r="E5" s="8" t="n">
        <v>48.72</v>
      </c>
      <c r="F5" s="8" t="n">
        <v>0.17</v>
      </c>
      <c r="G5" s="9" t="n">
        <v>0.003501544799176107</v>
      </c>
      <c r="H5" s="10" t="n">
        <v>55.916</v>
      </c>
      <c r="I5" s="10" t="n">
        <v>56.251</v>
      </c>
      <c r="J5" s="10" t="n">
        <v>0.335</v>
      </c>
      <c r="K5" s="11" t="n">
        <v>0.005991129551470063</v>
      </c>
      <c r="L5" s="12" t="n">
        <v>6685.73</v>
      </c>
      <c r="M5" s="12" t="n">
        <v>6830</v>
      </c>
      <c r="N5" s="12" t="n">
        <v>144.27</v>
      </c>
      <c r="O5" s="13" t="n">
        <v>0.02157879543445517</v>
      </c>
    </row>
    <row r="6">
      <c r="A6" s="5" t="n">
        <v>46281</v>
      </c>
      <c r="B6" s="6" t="n">
        <v>0.4689814814814815</v>
      </c>
      <c r="C6" s="17" t="inlineStr">
        <is>
          <t>Anadolubank</t>
        </is>
      </c>
      <c r="D6" s="8" t="n">
        <v>47.8126</v>
      </c>
      <c r="E6" s="8" t="n">
        <v>49.0893</v>
      </c>
      <c r="F6" s="8" t="n">
        <v>1.2767</v>
      </c>
      <c r="G6" s="9" t="n">
        <v>0.02670216637455398</v>
      </c>
      <c r="H6" s="10" t="n">
        <v>55.3051</v>
      </c>
      <c r="I6" s="10" t="n">
        <v>56.6718</v>
      </c>
      <c r="J6" s="10" t="n">
        <v>1.3667</v>
      </c>
      <c r="K6" s="11" t="n">
        <v>0.02471200666846277</v>
      </c>
      <c r="L6" s="12" t="n">
        <v>6651.89</v>
      </c>
      <c r="M6" s="12" t="n">
        <v>6802.72</v>
      </c>
      <c r="N6" s="12" t="n">
        <v>150.83</v>
      </c>
      <c r="O6" s="13" t="n">
        <v>0.02267475860244231</v>
      </c>
    </row>
    <row r="7">
      <c r="A7" s="5" t="n">
        <v>46281</v>
      </c>
      <c r="B7" s="6" t="n">
        <v>0.4689814814814815</v>
      </c>
      <c r="C7" s="18" t="inlineStr">
        <is>
          <t>CEPTETEB</t>
        </is>
      </c>
      <c r="D7" s="8" t="n">
        <v>47.655</v>
      </c>
      <c r="E7" s="8" t="n">
        <v>49.592</v>
      </c>
      <c r="F7" s="8" t="n">
        <v>1.937</v>
      </c>
      <c r="G7" s="9" t="n">
        <v>0.04064631203441402</v>
      </c>
      <c r="H7" s="10" t="n">
        <v>55.022</v>
      </c>
      <c r="I7" s="10" t="n">
        <v>57.264</v>
      </c>
      <c r="J7" s="10" t="n">
        <v>2.242</v>
      </c>
      <c r="K7" s="11" t="n">
        <v>0.0407473374286649</v>
      </c>
      <c r="L7" s="12" t="n">
        <v>6649.13</v>
      </c>
      <c r="M7" s="12" t="n">
        <v>6844.59</v>
      </c>
      <c r="N7" s="12" t="n">
        <v>195.46</v>
      </c>
      <c r="O7" s="13" t="n">
        <v>0.02939632703827418</v>
      </c>
    </row>
    <row r="8">
      <c r="A8" s="5" t="n">
        <v>46281</v>
      </c>
      <c r="B8" s="6" t="n">
        <v>0.4689814814814815</v>
      </c>
      <c r="C8" s="19" t="inlineStr">
        <is>
          <t>Denizbank</t>
        </is>
      </c>
      <c r="D8" s="8" t="n">
        <v>47.9146</v>
      </c>
      <c r="E8" s="8" t="n">
        <v>49.3147</v>
      </c>
      <c r="F8" s="8" t="n">
        <v>1.4001</v>
      </c>
      <c r="G8" s="9" t="n">
        <v>0.0292207385640285</v>
      </c>
      <c r="H8" s="10" t="n">
        <v>55.322</v>
      </c>
      <c r="I8" s="10" t="n">
        <v>56.9434</v>
      </c>
      <c r="J8" s="10" t="n">
        <v>1.6214</v>
      </c>
      <c r="K8" s="11" t="n">
        <v>0.02930841256642927</v>
      </c>
      <c r="L8" s="12" t="n">
        <v>6665.49</v>
      </c>
      <c r="M8" s="12" t="n">
        <v>6861.26</v>
      </c>
      <c r="N8" s="12" t="n">
        <v>195.77</v>
      </c>
      <c r="O8" s="13" t="n">
        <v>0.02937068392571289</v>
      </c>
    </row>
    <row r="9">
      <c r="A9" s="5" t="n">
        <v>46281</v>
      </c>
      <c r="B9" s="6" t="n">
        <v>0.4689814814814815</v>
      </c>
      <c r="C9" s="20" t="inlineStr">
        <is>
          <t>DestekBank</t>
        </is>
      </c>
      <c r="D9" s="8" t="n">
        <v>48.5842</v>
      </c>
      <c r="E9" s="8" t="n">
        <v>48.6415</v>
      </c>
      <c r="F9" s="8" t="n">
        <v>0.0573</v>
      </c>
      <c r="G9" s="9" t="n">
        <v>0.001179395770641484</v>
      </c>
      <c r="H9" s="10" t="n">
        <v>56.0793</v>
      </c>
      <c r="I9" s="10" t="n">
        <v>56.1629</v>
      </c>
      <c r="J9" s="10" t="n">
        <v>0.08359999999999999</v>
      </c>
      <c r="K9" s="11" t="n">
        <v>0.001490746139841261</v>
      </c>
      <c r="L9" s="12" t="n">
        <v>6708.6</v>
      </c>
      <c r="M9" s="12" t="n">
        <v>6737.44</v>
      </c>
      <c r="N9" s="12" t="n">
        <v>28.84</v>
      </c>
      <c r="O9" s="13" t="n">
        <v>0.004298959544465314</v>
      </c>
    </row>
    <row r="10">
      <c r="A10" s="5" t="n">
        <v>46281</v>
      </c>
      <c r="B10" s="6" t="n">
        <v>0.4689814814814815</v>
      </c>
      <c r="C10" s="21" t="inlineStr">
        <is>
          <t>Dünya Katılım</t>
        </is>
      </c>
      <c r="D10" s="8" t="n">
        <v>48.5975</v>
      </c>
      <c r="E10" s="8" t="n">
        <v>48.6364</v>
      </c>
      <c r="F10" s="8" t="n">
        <v>0.0389</v>
      </c>
      <c r="G10" s="9" t="n">
        <v>0.0008004526981840631</v>
      </c>
      <c r="H10" s="10" t="n">
        <v>56.0616</v>
      </c>
      <c r="I10" s="10" t="n">
        <v>56.1716</v>
      </c>
      <c r="J10" s="10" t="n">
        <v>0.11</v>
      </c>
      <c r="K10" s="11" t="n">
        <v>0.001962127374174123</v>
      </c>
      <c r="L10" s="12" t="n">
        <v>6714.5</v>
      </c>
      <c r="M10" s="12" t="n">
        <v>6746.5</v>
      </c>
      <c r="N10" s="12" t="n">
        <v>32</v>
      </c>
      <c r="O10" s="13" t="n">
        <v>0.004765805346637873</v>
      </c>
    </row>
    <row r="11">
      <c r="A11" s="5" t="n">
        <v>46281</v>
      </c>
      <c r="B11" s="6" t="n">
        <v>0.4689814814814815</v>
      </c>
      <c r="C11" s="22" t="inlineStr">
        <is>
          <t>Emlak Katılım</t>
        </is>
      </c>
      <c r="D11" s="8" t="n">
        <v>48.2823</v>
      </c>
      <c r="E11" s="8" t="n">
        <v>49.5288</v>
      </c>
      <c r="F11" s="8" t="n">
        <v>1.2465</v>
      </c>
      <c r="G11" s="9" t="n">
        <v>0.02581691427293232</v>
      </c>
      <c r="H11" s="10" t="n">
        <v>55.6472</v>
      </c>
      <c r="I11" s="10" t="n">
        <v>56.928</v>
      </c>
      <c r="J11" s="10" t="n">
        <v>1.2808</v>
      </c>
      <c r="K11" s="11" t="n">
        <v>0.02301643209361837</v>
      </c>
      <c r="L11" s="12" t="n">
        <v>6664.4</v>
      </c>
      <c r="M11" s="12" t="n">
        <v>6773.77</v>
      </c>
      <c r="N11" s="12" t="n">
        <v>109.37</v>
      </c>
      <c r="O11" s="13" t="n">
        <v>0.01641107976712082</v>
      </c>
    </row>
    <row r="12">
      <c r="A12" s="5" t="n">
        <v>46281</v>
      </c>
      <c r="B12" s="6" t="n">
        <v>0.4689814814814815</v>
      </c>
      <c r="C12" s="23" t="inlineStr">
        <is>
          <t>Enpara</t>
        </is>
      </c>
      <c r="D12" s="8" t="n">
        <v>48.2075</v>
      </c>
      <c r="E12" s="8" t="n">
        <v>49.0575</v>
      </c>
      <c r="F12" s="8" t="n">
        <v>0.85</v>
      </c>
      <c r="G12" s="9" t="n">
        <v>0.01763211118601877</v>
      </c>
      <c r="H12" s="10" t="n">
        <v>55.5769</v>
      </c>
      <c r="I12" s="10" t="n">
        <v>56.7317</v>
      </c>
      <c r="J12" s="10" t="n">
        <v>1.1548</v>
      </c>
      <c r="K12" s="11" t="n">
        <v>0.02077841693221465</v>
      </c>
      <c r="L12" s="12" t="n">
        <v>6662.89</v>
      </c>
      <c r="M12" s="12" t="n">
        <v>6810.19</v>
      </c>
      <c r="N12" s="12" t="n">
        <v>147.3</v>
      </c>
      <c r="O12" s="13" t="n">
        <v>0.02210752391229632</v>
      </c>
    </row>
    <row r="13">
      <c r="A13" s="5" t="n">
        <v>46281</v>
      </c>
      <c r="B13" s="6" t="n">
        <v>0.4689814814814815</v>
      </c>
      <c r="C13" s="24" t="inlineStr">
        <is>
          <t>Fibabanka</t>
        </is>
      </c>
      <c r="D13" s="8" t="n">
        <v>48.3581</v>
      </c>
      <c r="E13" s="8" t="n">
        <v>48.9653</v>
      </c>
      <c r="F13" s="8" t="n">
        <v>0.6072</v>
      </c>
      <c r="G13" s="9" t="n">
        <v>0.0125563245867807</v>
      </c>
      <c r="H13" s="10" t="n">
        <v>55.849</v>
      </c>
      <c r="I13" s="10" t="n">
        <v>56.5108</v>
      </c>
      <c r="J13" s="10" t="n">
        <v>0.6618000000000001</v>
      </c>
      <c r="K13" s="11" t="n">
        <v>0.01184980930723916</v>
      </c>
      <c r="L13" s="12" t="n">
        <v>6733.76</v>
      </c>
      <c r="M13" s="12" t="n">
        <v>6788.01</v>
      </c>
      <c r="N13" s="12" t="n">
        <v>54.25</v>
      </c>
      <c r="O13" s="13" t="n">
        <v>0.008056420187235659</v>
      </c>
    </row>
    <row r="14">
      <c r="A14" s="5" t="n">
        <v>46281</v>
      </c>
      <c r="B14" s="6" t="n">
        <v>0.4689814814814815</v>
      </c>
      <c r="C14" s="25" t="inlineStr">
        <is>
          <t>Garanti BBVA</t>
        </is>
      </c>
      <c r="D14" s="8" t="n">
        <v>47.815</v>
      </c>
      <c r="E14" s="8" t="n">
        <v>49.165</v>
      </c>
      <c r="F14" s="8" t="n">
        <v>1.35</v>
      </c>
      <c r="G14" s="9" t="n">
        <v>0.02823381783959009</v>
      </c>
      <c r="H14" s="10" t="n">
        <v>55.209</v>
      </c>
      <c r="I14" s="10" t="n">
        <v>56.768</v>
      </c>
      <c r="J14" s="10" t="n">
        <v>1.559</v>
      </c>
      <c r="K14" s="11" t="n">
        <v>0.02823814957706171</v>
      </c>
      <c r="L14" s="12" t="n">
        <v>6628.96</v>
      </c>
      <c r="M14" s="12" t="n">
        <v>6873.53</v>
      </c>
      <c r="N14" s="12" t="n">
        <v>244.57</v>
      </c>
      <c r="O14" s="13" t="n">
        <v>0.03689417344500495</v>
      </c>
    </row>
    <row r="15">
      <c r="A15" s="5" t="n">
        <v>46281</v>
      </c>
      <c r="B15" s="6" t="n">
        <v>0.4689814814814815</v>
      </c>
      <c r="C15" s="26" t="inlineStr">
        <is>
          <t>Getirfinans</t>
        </is>
      </c>
      <c r="D15" s="8" t="n">
        <v>48.358</v>
      </c>
      <c r="E15" s="8" t="n">
        <v>48.9653</v>
      </c>
      <c r="F15" s="8" t="n">
        <v>0.6073</v>
      </c>
      <c r="G15" s="9" t="n">
        <v>0.012558418462302</v>
      </c>
      <c r="H15" s="10" t="n">
        <v>55.849</v>
      </c>
      <c r="I15" s="10" t="n">
        <v>56.5103</v>
      </c>
      <c r="J15" s="10" t="n">
        <v>0.6613</v>
      </c>
      <c r="K15" s="11" t="n">
        <v>0.01184085659546277</v>
      </c>
      <c r="L15" s="12" t="n">
        <v>6736.06</v>
      </c>
      <c r="M15" s="12" t="n">
        <v>6790.26</v>
      </c>
      <c r="N15" s="12" t="n">
        <v>54.2</v>
      </c>
      <c r="O15" s="13" t="n">
        <v>0.008046246618943417</v>
      </c>
    </row>
    <row r="16">
      <c r="A16" s="5" t="n">
        <v>46281</v>
      </c>
      <c r="B16" s="6" t="n">
        <v>0.4689814814814815</v>
      </c>
      <c r="C16" s="27" t="inlineStr">
        <is>
          <t>Halkbank</t>
        </is>
      </c>
      <c r="D16" s="8" t="n">
        <v>48.2275</v>
      </c>
      <c r="E16" s="8" t="n">
        <v>49.2075</v>
      </c>
      <c r="F16" s="8" t="n">
        <v>0.98</v>
      </c>
      <c r="G16" s="9" t="n">
        <v>0.02032035664299414</v>
      </c>
      <c r="H16" s="10" t="n">
        <v>55.6859</v>
      </c>
      <c r="I16" s="10" t="n">
        <v>56.8174</v>
      </c>
      <c r="J16" s="10" t="n">
        <v>1.1315</v>
      </c>
      <c r="K16" s="11" t="n">
        <v>0.02031932679547246</v>
      </c>
      <c r="L16" s="12" t="n">
        <v>6663.35</v>
      </c>
      <c r="M16" s="12" t="n">
        <v>6867.3</v>
      </c>
      <c r="N16" s="12" t="n">
        <v>203.95</v>
      </c>
      <c r="O16" s="13" t="n">
        <v>0.03060772734435381</v>
      </c>
    </row>
    <row r="17">
      <c r="A17" s="5" t="n">
        <v>46281</v>
      </c>
      <c r="B17" s="6" t="n">
        <v>0.4689814814814815</v>
      </c>
      <c r="C17" s="28" t="inlineStr">
        <is>
          <t>Harem</t>
        </is>
      </c>
      <c r="D17" s="8" t="n">
        <v>48.62</v>
      </c>
      <c r="E17" s="8" t="n">
        <v>48.672</v>
      </c>
      <c r="F17" s="8" t="n">
        <v>0.052</v>
      </c>
      <c r="G17" s="9" t="n">
        <v>0.00106951871657754</v>
      </c>
      <c r="H17" s="10" t="n">
        <v>56.002</v>
      </c>
      <c r="I17" s="10" t="n">
        <v>56.149</v>
      </c>
      <c r="J17" s="10" t="n">
        <v>0.147</v>
      </c>
      <c r="K17" s="11" t="n">
        <v>0.002624906253348095</v>
      </c>
      <c r="L17" s="12" t="n">
        <v>6702.68</v>
      </c>
      <c r="M17" s="12" t="n">
        <v>6772.94</v>
      </c>
      <c r="N17" s="12" t="n">
        <v>70.26000000000001</v>
      </c>
      <c r="O17" s="13" t="n">
        <v>0.01048237421449331</v>
      </c>
    </row>
    <row r="18">
      <c r="A18" s="5" t="n">
        <v>46281</v>
      </c>
      <c r="B18" s="6" t="n">
        <v>0.4689814814814815</v>
      </c>
      <c r="C18" s="29" t="inlineStr">
        <is>
          <t>Hayat Finans</t>
        </is>
      </c>
      <c r="D18" s="8" t="n">
        <v>48.5777</v>
      </c>
      <c r="E18" s="8" t="n">
        <v>48.7252</v>
      </c>
      <c r="F18" s="8" t="n">
        <v>0.1475</v>
      </c>
      <c r="G18" s="9" t="n">
        <v>0.00303637265658934</v>
      </c>
      <c r="H18" s="10" t="n">
        <v>56.0722</v>
      </c>
      <c r="I18" s="10" t="n">
        <v>56.244</v>
      </c>
      <c r="J18" s="10" t="n">
        <v>0.1718</v>
      </c>
      <c r="K18" s="11" t="n">
        <v>0.003063906891472066</v>
      </c>
      <c r="L18" s="12" t="n">
        <v>6724.9</v>
      </c>
      <c r="M18" s="12" t="n">
        <v>6772.44</v>
      </c>
      <c r="N18" s="12" t="n">
        <v>47.54</v>
      </c>
      <c r="O18" s="13" t="n">
        <v>0.00706925010037324</v>
      </c>
    </row>
    <row r="19">
      <c r="A19" s="5" t="n">
        <v>46281</v>
      </c>
      <c r="B19" s="6" t="n">
        <v>0.4689814814814815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6686.48</v>
      </c>
      <c r="M19" s="12" t="n">
        <v>6881.4</v>
      </c>
      <c r="N19" s="12" t="n">
        <v>194.92</v>
      </c>
      <c r="O19" s="13" t="n">
        <v>0.02915136215168519</v>
      </c>
    </row>
    <row r="20">
      <c r="A20" s="5" t="n">
        <v>46281</v>
      </c>
      <c r="B20" s="6" t="n">
        <v>0.4689814814814815</v>
      </c>
      <c r="C20" s="31" t="inlineStr">
        <is>
          <t>HSBC</t>
        </is>
      </c>
      <c r="D20" s="8" t="n">
        <v>48.1657</v>
      </c>
      <c r="E20" s="8" t="n">
        <v>49.0498</v>
      </c>
      <c r="F20" s="8" t="n">
        <v>0.8841</v>
      </c>
      <c r="G20" s="9" t="n">
        <v>0.01835538567902055</v>
      </c>
      <c r="H20" s="10" t="n">
        <v>55.6111</v>
      </c>
      <c r="I20" s="10" t="n">
        <v>56.6667</v>
      </c>
      <c r="J20" s="10" t="n">
        <v>1.0556</v>
      </c>
      <c r="K20" s="11" t="n">
        <v>0.01898182197439001</v>
      </c>
      <c r="L20" s="12" t="n">
        <v>6667.95</v>
      </c>
      <c r="M20" s="12" t="n">
        <v>7114.27</v>
      </c>
      <c r="N20" s="12" t="n">
        <v>446.32</v>
      </c>
      <c r="O20" s="13" t="n">
        <v>0.06693511499036435</v>
      </c>
    </row>
    <row r="21">
      <c r="A21" s="5" t="n">
        <v>46281</v>
      </c>
      <c r="B21" s="6" t="n">
        <v>0.4689814814814815</v>
      </c>
      <c r="C21" s="32" t="inlineStr">
        <is>
          <t>ING Bank</t>
        </is>
      </c>
      <c r="D21" s="8" t="n">
        <v>48.1115</v>
      </c>
      <c r="E21" s="8" t="n">
        <v>49.115</v>
      </c>
      <c r="F21" s="8" t="n">
        <v>1.0035</v>
      </c>
      <c r="G21" s="9" t="n">
        <v>0.0208577990709082</v>
      </c>
      <c r="H21" s="10" t="n">
        <v>55.6259</v>
      </c>
      <c r="I21" s="10" t="n">
        <v>56.6325</v>
      </c>
      <c r="J21" s="10" t="n">
        <v>1.0066</v>
      </c>
      <c r="K21" s="11" t="n">
        <v>0.01809588698789593</v>
      </c>
      <c r="L21" s="12" t="n">
        <v>6635.99</v>
      </c>
      <c r="M21" s="12" t="n">
        <v>6887.95</v>
      </c>
      <c r="N21" s="12" t="n">
        <v>251.96</v>
      </c>
      <c r="O21" s="13" t="n">
        <v>0.03796871303302145</v>
      </c>
    </row>
    <row r="22">
      <c r="A22" s="5" t="n">
        <v>46281</v>
      </c>
      <c r="B22" s="6" t="n">
        <v>0.4689814814814815</v>
      </c>
      <c r="C22" s="33" t="inlineStr">
        <is>
          <t>İş Bankası</t>
        </is>
      </c>
      <c r="D22" s="8" t="n">
        <v>48.0353</v>
      </c>
      <c r="E22" s="8" t="n">
        <v>49.1977</v>
      </c>
      <c r="F22" s="8" t="n">
        <v>1.1624</v>
      </c>
      <c r="G22" s="9" t="n">
        <v>0.02419887041404967</v>
      </c>
      <c r="H22" s="10" t="n">
        <v>55.452</v>
      </c>
      <c r="I22" s="10" t="n">
        <v>56.8038</v>
      </c>
      <c r="J22" s="10" t="n">
        <v>1.3518</v>
      </c>
      <c r="K22" s="11" t="n">
        <v>0.02437784029430859</v>
      </c>
      <c r="L22" s="12" t="n">
        <v>6658.93</v>
      </c>
      <c r="M22" s="12" t="n">
        <v>6841.73</v>
      </c>
      <c r="N22" s="12" t="n">
        <v>182.8</v>
      </c>
      <c r="O22" s="13" t="n">
        <v>0.02745185788107098</v>
      </c>
    </row>
    <row r="23">
      <c r="A23" s="5" t="n">
        <v>46281</v>
      </c>
      <c r="B23" s="6" t="n">
        <v>0.4689814814814815</v>
      </c>
      <c r="C23" s="34" t="inlineStr">
        <is>
          <t>Kapalıçarşı</t>
        </is>
      </c>
      <c r="D23" s="8" t="n">
        <v>48.64</v>
      </c>
      <c r="E23" s="8" t="n">
        <v>48.65</v>
      </c>
      <c r="F23" s="8" t="n">
        <v>0.01</v>
      </c>
      <c r="G23" s="9" t="n">
        <v>0.0002055921052631579</v>
      </c>
      <c r="H23" s="10" t="n">
        <v>56</v>
      </c>
      <c r="I23" s="10" t="n">
        <v>56.05</v>
      </c>
      <c r="J23" s="10" t="n">
        <v>0.05</v>
      </c>
      <c r="K23" s="11" t="n">
        <v>0.0008928571428571428</v>
      </c>
      <c r="L23" s="12" t="n">
        <v>6702.37</v>
      </c>
      <c r="M23" s="12" t="n">
        <v>6708.63</v>
      </c>
      <c r="N23" s="12" t="n">
        <v>6.26</v>
      </c>
      <c r="O23" s="13" t="n">
        <v>0.0009339979738510408</v>
      </c>
    </row>
    <row r="24">
      <c r="A24" s="5" t="n">
        <v>46281</v>
      </c>
      <c r="B24" s="6" t="n">
        <v>0.4689814814814815</v>
      </c>
      <c r="C24" s="35" t="inlineStr">
        <is>
          <t>Kuveyt Türk</t>
        </is>
      </c>
      <c r="D24" s="8" t="n">
        <v>48.1022</v>
      </c>
      <c r="E24" s="8" t="n">
        <v>49.126</v>
      </c>
      <c r="F24" s="8" t="n">
        <v>1.0238</v>
      </c>
      <c r="G24" s="9" t="n">
        <v>0.02128384980312751</v>
      </c>
      <c r="H24" s="10" t="n">
        <v>55.3604</v>
      </c>
      <c r="I24" s="10" t="n">
        <v>56.5451</v>
      </c>
      <c r="J24" s="10" t="n">
        <v>1.1847</v>
      </c>
      <c r="K24" s="11" t="n">
        <v>0.02139977312302657</v>
      </c>
      <c r="L24" s="12" t="n">
        <v>6642.58</v>
      </c>
      <c r="M24" s="12" t="n">
        <v>6818.13</v>
      </c>
      <c r="N24" s="12" t="n">
        <v>175.55</v>
      </c>
      <c r="O24" s="13" t="n">
        <v>0.02642798430730228</v>
      </c>
    </row>
    <row r="25">
      <c r="A25" s="5" t="n">
        <v>46281</v>
      </c>
      <c r="B25" s="6" t="n">
        <v>0.4689814814814815</v>
      </c>
      <c r="C25" s="36" t="inlineStr">
        <is>
          <t>Merkez Bankası</t>
        </is>
      </c>
      <c r="D25" s="8" t="n">
        <v>48.5585</v>
      </c>
      <c r="E25" s="8" t="n">
        <v>48.646</v>
      </c>
      <c r="F25" s="8" t="n">
        <v>0.08749999999999999</v>
      </c>
      <c r="G25" s="9" t="n">
        <v>0.001801950224986357</v>
      </c>
      <c r="H25" s="10" t="n">
        <v>56.0207</v>
      </c>
      <c r="I25" s="10" t="n">
        <v>56.1216</v>
      </c>
      <c r="J25" s="10" t="n">
        <v>0.1009</v>
      </c>
      <c r="K25" s="11" t="n">
        <v>0.001801119943163866</v>
      </c>
      <c r="L25" s="12" t="n"/>
      <c r="M25" s="12" t="n"/>
      <c r="N25" s="12" t="n"/>
      <c r="O25" s="13" t="n"/>
    </row>
    <row r="26">
      <c r="A26" s="5" t="n">
        <v>46281</v>
      </c>
      <c r="B26" s="6" t="n">
        <v>0.4689814814814815</v>
      </c>
      <c r="C26" s="37" t="inlineStr">
        <is>
          <t>Misyon Bank</t>
        </is>
      </c>
      <c r="D26" s="8" t="n">
        <v>48.5865</v>
      </c>
      <c r="E26" s="8" t="n">
        <v>48.6404</v>
      </c>
      <c r="F26" s="8" t="n">
        <v>0.0539</v>
      </c>
      <c r="G26" s="9" t="n">
        <v>0.001109361653957375</v>
      </c>
      <c r="H26" s="10" t="n">
        <v>56.0809</v>
      </c>
      <c r="I26" s="10" t="n">
        <v>56.161</v>
      </c>
      <c r="J26" s="10" t="n">
        <v>0.0801</v>
      </c>
      <c r="K26" s="11" t="n">
        <v>0.001428293768466626</v>
      </c>
      <c r="L26" s="12" t="n">
        <v>6714.32</v>
      </c>
      <c r="M26" s="12" t="n">
        <v>6742.23</v>
      </c>
      <c r="N26" s="12" t="n">
        <v>27.91</v>
      </c>
      <c r="O26" s="13" t="n">
        <v>0.004156787284490463</v>
      </c>
    </row>
    <row r="27">
      <c r="A27" s="5" t="n">
        <v>46281</v>
      </c>
      <c r="B27" s="6" t="n">
        <v>0.4689814814814815</v>
      </c>
      <c r="C27" s="38" t="inlineStr">
        <is>
          <t>Odacı</t>
        </is>
      </c>
      <c r="D27" s="8" t="n">
        <v>48.547</v>
      </c>
      <c r="E27" s="8" t="n">
        <v>48.735</v>
      </c>
      <c r="F27" s="8" t="n">
        <v>0.188</v>
      </c>
      <c r="G27" s="9" t="n">
        <v>0.003872535893052094</v>
      </c>
      <c r="H27" s="10" t="n">
        <v>55.934</v>
      </c>
      <c r="I27" s="10" t="n">
        <v>56.178</v>
      </c>
      <c r="J27" s="10" t="n">
        <v>0.244</v>
      </c>
      <c r="K27" s="11" t="n">
        <v>0.004362284120570672</v>
      </c>
      <c r="L27" s="12" t="n">
        <v>6711</v>
      </c>
      <c r="M27" s="12" t="n">
        <v>6764</v>
      </c>
      <c r="N27" s="12" t="n">
        <v>53</v>
      </c>
      <c r="O27" s="13" t="n">
        <v>0.00789748174638653</v>
      </c>
    </row>
    <row r="28">
      <c r="A28" s="5" t="n">
        <v>46281</v>
      </c>
      <c r="B28" s="6" t="n">
        <v>0.4689814814814815</v>
      </c>
      <c r="C28" s="39" t="inlineStr">
        <is>
          <t>Odeabank</t>
        </is>
      </c>
      <c r="D28" s="8" t="n">
        <v>48.121</v>
      </c>
      <c r="E28" s="8" t="n">
        <v>49.121</v>
      </c>
      <c r="F28" s="8" t="n">
        <v>1</v>
      </c>
      <c r="G28" s="9" t="n">
        <v>0.02078094802684899</v>
      </c>
      <c r="H28" s="10" t="n">
        <v>55.591</v>
      </c>
      <c r="I28" s="10" t="n">
        <v>56.681</v>
      </c>
      <c r="J28" s="10" t="n">
        <v>1.09</v>
      </c>
      <c r="K28" s="11" t="n">
        <v>0.01960749042111133</v>
      </c>
      <c r="L28" s="12" t="n">
        <v>6712.06</v>
      </c>
      <c r="M28" s="12" t="n">
        <v>6812.06</v>
      </c>
      <c r="N28" s="12" t="n">
        <v>100</v>
      </c>
      <c r="O28" s="13" t="n">
        <v>0.01489855573400715</v>
      </c>
    </row>
    <row r="29">
      <c r="A29" s="5" t="n">
        <v>46281</v>
      </c>
      <c r="B29" s="6" t="n">
        <v>0.4689814814814815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6685.76</v>
      </c>
      <c r="M29" s="12" t="n">
        <v>6866.92</v>
      </c>
      <c r="N29" s="12" t="n">
        <v>181.16</v>
      </c>
      <c r="O29" s="13" t="n">
        <v>0.02709639592207917</v>
      </c>
    </row>
    <row r="30">
      <c r="A30" s="5" t="n">
        <v>46281</v>
      </c>
      <c r="B30" s="6" t="n">
        <v>0.4689814814814815</v>
      </c>
      <c r="C30" s="41" t="inlineStr">
        <is>
          <t>QNB Finansbank</t>
        </is>
      </c>
      <c r="D30" s="8" t="n">
        <v>47.8975</v>
      </c>
      <c r="E30" s="8" t="n">
        <v>49.4175</v>
      </c>
      <c r="F30" s="8" t="n">
        <v>1.52</v>
      </c>
      <c r="G30" s="9" t="n">
        <v>0.03173443290359622</v>
      </c>
      <c r="H30" s="10" t="n">
        <v>55.1816</v>
      </c>
      <c r="I30" s="10" t="n">
        <v>57.1822</v>
      </c>
      <c r="J30" s="10" t="n">
        <v>2.0006</v>
      </c>
      <c r="K30" s="11" t="n">
        <v>0.03625483856937819</v>
      </c>
      <c r="L30" s="12" t="n">
        <v>6616.77</v>
      </c>
      <c r="M30" s="12" t="n">
        <v>6856.75</v>
      </c>
      <c r="N30" s="12" t="n">
        <v>239.98</v>
      </c>
      <c r="O30" s="13" t="n">
        <v>0.03626845122317989</v>
      </c>
    </row>
    <row r="31">
      <c r="A31" s="5" t="n">
        <v>46281</v>
      </c>
      <c r="B31" s="6" t="n">
        <v>0.4689814814814815</v>
      </c>
      <c r="C31" s="42" t="inlineStr">
        <is>
          <t>TOM Bank Hadi</t>
        </is>
      </c>
      <c r="D31" s="8" t="n">
        <v>48.6565</v>
      </c>
      <c r="E31" s="8" t="n">
        <v>48.6565</v>
      </c>
      <c r="F31" s="8" t="n">
        <v>0</v>
      </c>
      <c r="G31" s="9" t="n">
        <v>0</v>
      </c>
      <c r="H31" s="10" t="n">
        <v>56.1825</v>
      </c>
      <c r="I31" s="10" t="n">
        <v>56.1825</v>
      </c>
      <c r="J31" s="10" t="n">
        <v>0</v>
      </c>
      <c r="K31" s="11" t="n">
        <v>0</v>
      </c>
      <c r="L31" s="12" t="n">
        <v>6735.17</v>
      </c>
      <c r="M31" s="12" t="n">
        <v>6735.17</v>
      </c>
      <c r="N31" s="12" t="n">
        <v>0</v>
      </c>
      <c r="O31" s="13" t="n">
        <v>0</v>
      </c>
    </row>
    <row r="32">
      <c r="A32" s="5" t="n">
        <v>46281</v>
      </c>
      <c r="B32" s="6" t="n">
        <v>0.4689814814814815</v>
      </c>
      <c r="C32" s="43" t="inlineStr">
        <is>
          <t>Türkiye Finans</t>
        </is>
      </c>
      <c r="D32" s="8" t="n">
        <v>48.2114</v>
      </c>
      <c r="E32" s="8" t="n">
        <v>49.0139</v>
      </c>
      <c r="F32" s="8" t="n">
        <v>0.8025</v>
      </c>
      <c r="G32" s="9" t="n">
        <v>0.01664544070489552</v>
      </c>
      <c r="H32" s="10" t="n">
        <v>55.6987</v>
      </c>
      <c r="I32" s="10" t="n">
        <v>56.5508</v>
      </c>
      <c r="J32" s="10" t="n">
        <v>0.8521</v>
      </c>
      <c r="K32" s="11" t="n">
        <v>0.01529838218845323</v>
      </c>
      <c r="L32" s="12" t="n">
        <v>6661.81</v>
      </c>
      <c r="M32" s="12" t="n">
        <v>6858.09</v>
      </c>
      <c r="N32" s="12" t="n">
        <v>196.28</v>
      </c>
      <c r="O32" s="13" t="n">
        <v>0.02946346413362134</v>
      </c>
    </row>
    <row r="33">
      <c r="A33" s="5" t="n">
        <v>46281</v>
      </c>
      <c r="B33" s="6" t="n">
        <v>0.4689814814814815</v>
      </c>
      <c r="C33" s="44" t="inlineStr">
        <is>
          <t>Vakıf Katılım</t>
        </is>
      </c>
      <c r="D33" s="8" t="n">
        <v>48.5131</v>
      </c>
      <c r="E33" s="8" t="n">
        <v>48.7178</v>
      </c>
      <c r="F33" s="8" t="n">
        <v>0.2047</v>
      </c>
      <c r="G33" s="9" t="n">
        <v>0.004219478862410359</v>
      </c>
      <c r="H33" s="10" t="n">
        <v>55.9997</v>
      </c>
      <c r="I33" s="10" t="n">
        <v>56.2253</v>
      </c>
      <c r="J33" s="10" t="n">
        <v>0.2256</v>
      </c>
      <c r="K33" s="11" t="n">
        <v>0.004028593010319698</v>
      </c>
      <c r="L33" s="12" t="n">
        <v>6703.34</v>
      </c>
      <c r="M33" s="12" t="n">
        <v>6757.18</v>
      </c>
      <c r="N33" s="12" t="n">
        <v>53.84</v>
      </c>
      <c r="O33" s="13" t="n">
        <v>0.008031816974821507</v>
      </c>
    </row>
    <row r="34">
      <c r="A34" s="5" t="n">
        <v>46281</v>
      </c>
      <c r="B34" s="6" t="n">
        <v>0.4689814814814815</v>
      </c>
      <c r="C34" s="45" t="inlineStr">
        <is>
          <t>Vakıfbank</t>
        </is>
      </c>
      <c r="D34" s="8" t="n">
        <v>48.2496</v>
      </c>
      <c r="E34" s="8" t="n">
        <v>49.2196</v>
      </c>
      <c r="F34" s="8" t="n">
        <v>0.97</v>
      </c>
      <c r="G34" s="9" t="n">
        <v>0.02010379360657912</v>
      </c>
      <c r="H34" s="10" t="n">
        <v>55.5853</v>
      </c>
      <c r="I34" s="10" t="n">
        <v>56.7244</v>
      </c>
      <c r="J34" s="10" t="n">
        <v>1.1391</v>
      </c>
      <c r="K34" s="11" t="n">
        <v>0.02049282813981395</v>
      </c>
      <c r="L34" s="12" t="n">
        <v>6670.39</v>
      </c>
      <c r="M34" s="12" t="n">
        <v>6814.99</v>
      </c>
      <c r="N34" s="12" t="n">
        <v>144.6</v>
      </c>
      <c r="O34" s="13" t="n">
        <v>0.02167789289681713</v>
      </c>
    </row>
    <row r="35">
      <c r="A35" s="5" t="n">
        <v>46281</v>
      </c>
      <c r="B35" s="6" t="n">
        <v>0.4689814814814815</v>
      </c>
      <c r="C35" s="46" t="inlineStr">
        <is>
          <t>Venüs</t>
        </is>
      </c>
      <c r="D35" s="8" t="n">
        <v>48.631</v>
      </c>
      <c r="E35" s="8" t="n">
        <v>48.673</v>
      </c>
      <c r="F35" s="8" t="n">
        <v>0.042</v>
      </c>
      <c r="G35" s="9" t="n">
        <v>0.0008636466451440439</v>
      </c>
      <c r="H35" s="10" t="n">
        <v>56.012</v>
      </c>
      <c r="I35" s="10" t="n">
        <v>56.135</v>
      </c>
      <c r="J35" s="10" t="n">
        <v>0.123</v>
      </c>
      <c r="K35" s="11" t="n">
        <v>0.002195958008998072</v>
      </c>
      <c r="L35" s="12" t="n"/>
      <c r="M35" s="12" t="n"/>
      <c r="N35" s="12" t="n"/>
      <c r="O35" s="13" t="n"/>
    </row>
    <row r="36">
      <c r="A36" s="5" t="n">
        <v>46281</v>
      </c>
      <c r="B36" s="6" t="n">
        <v>0.4689814814814815</v>
      </c>
      <c r="C36" s="47" t="inlineStr">
        <is>
          <t>Yapıkredi</t>
        </is>
      </c>
      <c r="D36" s="8" t="n">
        <v>48.08</v>
      </c>
      <c r="E36" s="8" t="n">
        <v>48.98</v>
      </c>
      <c r="F36" s="8" t="n">
        <v>0.9</v>
      </c>
      <c r="G36" s="9" t="n">
        <v>0.01871880199667221</v>
      </c>
      <c r="H36" s="10" t="n">
        <v>55.52</v>
      </c>
      <c r="I36" s="10" t="n">
        <v>56.54</v>
      </c>
      <c r="J36" s="10" t="n">
        <v>1.02</v>
      </c>
      <c r="K36" s="11" t="n">
        <v>0.01837175792507205</v>
      </c>
      <c r="L36" s="12" t="n">
        <v>6650.03</v>
      </c>
      <c r="M36" s="12" t="n">
        <v>6838.69</v>
      </c>
      <c r="N36" s="12" t="n">
        <v>188.66</v>
      </c>
      <c r="O36" s="13" t="n">
        <v>0.02836979682798424</v>
      </c>
    </row>
    <row r="37">
      <c r="A37" s="5" t="n">
        <v>46281</v>
      </c>
      <c r="B37" s="6" t="n">
        <v>0.4689814814814815</v>
      </c>
      <c r="C37" s="48" t="inlineStr">
        <is>
          <t>Ziraat Bankası</t>
        </is>
      </c>
      <c r="D37" s="8" t="n">
        <v>48.2478</v>
      </c>
      <c r="E37" s="8" t="n">
        <v>49.2238</v>
      </c>
      <c r="F37" s="8" t="n">
        <v>0.976</v>
      </c>
      <c r="G37" s="9" t="n">
        <v>0.0202289016286753</v>
      </c>
      <c r="H37" s="10" t="n">
        <v>55.7005</v>
      </c>
      <c r="I37" s="10" t="n">
        <v>56.8273</v>
      </c>
      <c r="J37" s="10" t="n">
        <v>1.1268</v>
      </c>
      <c r="K37" s="11" t="n">
        <v>0.02022962091902227</v>
      </c>
      <c r="L37" s="12" t="n">
        <v>6700.73</v>
      </c>
      <c r="M37" s="12" t="n">
        <v>6836.03</v>
      </c>
      <c r="N37" s="12" t="n">
        <v>135.3</v>
      </c>
      <c r="O37" s="13" t="n">
        <v>0.0201918298454049</v>
      </c>
    </row>
    <row r="38">
      <c r="A38" s="5" t="n">
        <v>46281</v>
      </c>
      <c r="B38" s="6" t="n">
        <v>0.4689814814814815</v>
      </c>
      <c r="C38" s="49" t="inlineStr">
        <is>
          <t>Ziraat Dinamik</t>
        </is>
      </c>
      <c r="D38" s="8" t="n">
        <v>48.296</v>
      </c>
      <c r="E38" s="8" t="n">
        <v>48.9531</v>
      </c>
      <c r="F38" s="8" t="n">
        <v>0.6571</v>
      </c>
      <c r="G38" s="9" t="n">
        <v>0.01360568162994865</v>
      </c>
      <c r="H38" s="10" t="n">
        <v>55.699</v>
      </c>
      <c r="I38" s="10" t="n">
        <v>56.5133</v>
      </c>
      <c r="J38" s="10" t="n">
        <v>0.8143</v>
      </c>
      <c r="K38" s="11" t="n">
        <v>0.01461965205838525</v>
      </c>
      <c r="L38" s="12" t="n">
        <v>6671.34</v>
      </c>
      <c r="M38" s="12" t="n">
        <v>6806.04</v>
      </c>
      <c r="N38" s="12" t="n">
        <v>134.7</v>
      </c>
      <c r="O38" s="13" t="n">
        <v>0.02019084621680202</v>
      </c>
    </row>
    <row r="39">
      <c r="A39" s="5" t="n">
        <v>46281</v>
      </c>
      <c r="B39" s="6" t="n">
        <v>0.4689814814814815</v>
      </c>
      <c r="C39" s="50" t="inlineStr">
        <is>
          <t>Ziraat Katılım</t>
        </is>
      </c>
      <c r="D39" s="8" t="n">
        <v>48.1249</v>
      </c>
      <c r="E39" s="8" t="n">
        <v>49.1291</v>
      </c>
      <c r="F39" s="8" t="n">
        <v>1.0042</v>
      </c>
      <c r="G39" s="9" t="n">
        <v>0.02086653686553115</v>
      </c>
      <c r="H39" s="10" t="n">
        <v>55.5228</v>
      </c>
      <c r="I39" s="10" t="n">
        <v>56.7377</v>
      </c>
      <c r="J39" s="10" t="n">
        <v>1.2149</v>
      </c>
      <c r="K39" s="11" t="n">
        <v>0.02188110109720691</v>
      </c>
      <c r="L39" s="12" t="n">
        <v>6690.16</v>
      </c>
      <c r="M39" s="12" t="n">
        <v>6902.51</v>
      </c>
      <c r="N39" s="12" t="n">
        <v>212.35</v>
      </c>
      <c r="O39" s="13" t="n">
        <v>0.03174064596362419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</hyperlinks>
  <pageMargins left="0.75" right="0.75" top="1" bottom="1" header="0.5" footer="0.5"/>
  <tableParts count="1">
    <tablePart xmlns:r="http://schemas.openxmlformats.org/officeDocument/2006/relationships" r:id="rId21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46281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0.4689814814814815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0.01871880199667221</v>
      </c>
      <c r="O5" s="72" t="inlineStr">
        <is>
          <t>Yapıkredi</t>
        </is>
      </c>
      <c r="P5" s="73" t="n">
        <v>48.08</v>
      </c>
      <c r="Q5" s="73" t="n">
        <v>48.98</v>
      </c>
    </row>
    <row r="6">
      <c r="A6" s="62" t="inlineStr">
        <is>
          <t>Sağlayıcı sayısı</t>
        </is>
      </c>
      <c r="B6" s="63" t="n"/>
      <c r="C6" s="74" t="n">
        <v>38</v>
      </c>
      <c r="D6" s="63" t="n"/>
      <c r="F6" s="63" t="inlineStr">
        <is>
          <t>Ağustos 2026</t>
        </is>
      </c>
      <c r="G6" s="75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6" t="inlineStr">
        <is>
          <t>EURO</t>
        </is>
      </c>
      <c r="M6" s="63" t="n">
        <v>5</v>
      </c>
      <c r="N6" s="71" t="n">
        <v>0.01837175792507205</v>
      </c>
      <c r="O6" s="72" t="inlineStr">
        <is>
          <t>Yapıkredi</t>
        </is>
      </c>
      <c r="P6" s="73" t="n">
        <v>55.52</v>
      </c>
      <c r="Q6" s="73" t="n">
        <v>56.54</v>
      </c>
    </row>
    <row r="7">
      <c r="A7" s="62" t="inlineStr">
        <is>
          <t>Ürün kaydı</t>
        </is>
      </c>
      <c r="B7" s="63" t="n"/>
      <c r="C7" s="74" t="n">
        <v>108</v>
      </c>
      <c r="D7" s="63" t="n"/>
      <c r="F7" s="63" t="inlineStr">
        <is>
          <t>Ağustos 2026</t>
        </is>
      </c>
      <c r="G7" s="72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0.0201918298454049</v>
      </c>
      <c r="O7" s="78" t="inlineStr">
        <is>
          <t>Ziraat Bankası</t>
        </is>
      </c>
      <c r="P7" s="73" t="n">
        <v>6700.73</v>
      </c>
      <c r="Q7" s="73" t="n">
        <v>6836.03</v>
      </c>
    </row>
    <row r="8">
      <c r="A8" s="62" t="inlineStr">
        <is>
          <t>Hatalı kayıt</t>
        </is>
      </c>
      <c r="B8" s="63" t="n"/>
      <c r="C8" s="74" t="n">
        <v>0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4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0.03183894085499176</v>
      </c>
      <c r="I10" s="68" t="n">
        <v>0.03184062768283041</v>
      </c>
      <c r="J10" s="69" t="n">
        <v>0.04535341608000135</v>
      </c>
    </row>
    <row r="11">
      <c r="F11" s="63" t="inlineStr">
        <is>
          <t>Eylül 2026</t>
        </is>
      </c>
      <c r="G11" s="75" t="inlineStr">
        <is>
          <t>Akbank</t>
        </is>
      </c>
      <c r="H11" s="67" t="n">
        <v>0.03560592314164079</v>
      </c>
      <c r="I11" s="68" t="n">
        <v>0.03573610529303327</v>
      </c>
      <c r="J11" s="69" t="n">
        <v>0.04823085100724192</v>
      </c>
    </row>
    <row r="12">
      <c r="F12" s="63" t="inlineStr">
        <is>
          <t>Eylül 2026</t>
        </is>
      </c>
      <c r="G12" s="72" t="inlineStr">
        <is>
          <t>Yapıkredi</t>
        </is>
      </c>
      <c r="H12" s="67" t="n">
        <v>0.02850299630856682</v>
      </c>
      <c r="I12" s="68" t="n">
        <v>0.02670801527192956</v>
      </c>
      <c r="J12" s="69" t="n">
        <v>0.04141932488690064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0.03039223377525381</v>
      </c>
      <c r="I13" s="68" t="n">
        <v>0.0303923053684615</v>
      </c>
      <c r="J13" s="69" t="n">
        <v>0.05131585500668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0.0320353268982854</v>
      </c>
      <c r="I14" s="68" t="n">
        <v>0.03215716366486877</v>
      </c>
      <c r="J14" s="69" t="n">
        <v>0.05304326192642525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0.03183894085499176</v>
      </c>
      <c r="V3" s="55" t="n">
        <v>0.03560592314164079</v>
      </c>
      <c r="W3" s="55" t="n">
        <v>0.02850299630856682</v>
      </c>
      <c r="X3" s="55" t="n">
        <v>0.03039223377525381</v>
      </c>
      <c r="Y3" s="55" t="n">
        <v>0.0320353268982854</v>
      </c>
      <c r="Z3" s="55" t="n">
        <v>0.03184062768283041</v>
      </c>
      <c r="AA3" s="55" t="n">
        <v>0.03573610529303327</v>
      </c>
      <c r="AB3" s="55" t="n">
        <v>0.02670801527192956</v>
      </c>
      <c r="AC3" s="55" t="n">
        <v>0.0303923053684615</v>
      </c>
      <c r="AD3" s="55" t="n">
        <v>0.03215716366486877</v>
      </c>
      <c r="AE3" s="55" t="n">
        <v>0.04535341608000135</v>
      </c>
      <c r="AF3" s="55" t="n">
        <v>0.04823085100724192</v>
      </c>
      <c r="AG3" s="55" t="n">
        <v>0.04141932488690064</v>
      </c>
      <c r="AH3" s="55" t="n">
        <v>0.05131585500668</v>
      </c>
      <c r="AI3" s="55" t="n">
        <v>0.05304326192642525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2026-09-16T08:15:59Z</dcterms:created>
  <dcterms:modified xsi:type="dcterms:W3CDTF">2026-09-16T08:16:00Z</dcterms:modified>
</cp:coreProperties>
</file>