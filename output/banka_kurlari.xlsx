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'GRAFIK_VERILERI'!$B$2:$B$25</f>
              <numCache>
                <formatCode>0.00%</formatCode>
                <ptCount val="2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'GRAFIK_VERILERI'!$C$2:$C$25</f>
              <numCache>
                <formatCode>0.00%</formatCode>
                <ptCount val="2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'GRAFIK_VERILERI'!$D$2:$D$25</f>
              <numCache>
                <formatCode>0.00%</formatCode>
                <ptCount val="2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'GRAFIK_VERILERI'!$E$2:$E$25</f>
              <numCache>
                <formatCode>0.00%</formatCode>
                <ptCount val="2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'GRAFIK_VERILERI'!$F$2:$F$25</f>
              <numCache>
                <formatCode>0.00%</formatCode>
                <ptCount val="2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2493316506896"/>
          <min val="0.0122484370616639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'GRAFIK_VERILERI'!$G$2:$G$25</f>
              <numCache>
                <formatCode>0.00%</formatCode>
                <ptCount val="2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'GRAFIK_VERILERI'!$H$2:$H$25</f>
              <numCache>
                <formatCode>0.00%</formatCode>
                <ptCount val="2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'GRAFIK_VERILERI'!$I$2:$I$25</f>
              <numCache>
                <formatCode>0.00%</formatCode>
                <ptCount val="2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'GRAFIK_VERILERI'!$J$2:$J$25</f>
              <numCache>
                <formatCode>0.00%</formatCode>
                <ptCount val="2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'GRAFIK_VERILERI'!$K$2:$K$25</f>
              <numCache>
                <formatCode>0.00%</formatCode>
                <ptCount val="2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'GRAFIK_VERILERI'!$L$2:$L$25</f>
              <numCache>
                <formatCode>0.00%</formatCode>
                <ptCount val="2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'GRAFIK_VERILERI'!$M$2:$M$25</f>
              <numCache>
                <formatCode>0.00%</formatCode>
                <ptCount val="2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'GRAFIK_VERILERI'!$N$2:$N$25</f>
              <numCache>
                <formatCode>0.00%</formatCode>
                <ptCount val="2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'GRAFIK_VERILERI'!$O$2:$O$25</f>
              <numCache>
                <formatCode>0.00%</formatCode>
                <ptCount val="2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'GRAFIK_VERILERI'!$P$2:$P$25</f>
              <numCache>
                <formatCode>0.00%</formatCode>
                <ptCount val="2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076411856"/>
          <min val="0.0013444836582774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0.03249921699353857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0.03701379045231567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0.03023894222286276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0.03242488670002234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0.03357125701461668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1279135825378"/>
          <min val="0.0276336575530291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0.03249962346170554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0.03713602601557841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0.02822180073305783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0.03242492250859851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0.03368675268444531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3280401744764"/>
          <min val="0.0247377568263982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0.04703243050315094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0.05058292032092558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0.04386377866900925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0.05754070174664053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0.0584965066191633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039849561372"/>
          <min val="0.0351846213272099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'GRAFIK_VERILERI'!$B$2:$B$25</f>
              <numCache>
                <formatCode>0.00%</formatCode>
                <ptCount val="2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0658014058568"/>
          <min val="0.02534415807255345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'GRAFIK_VERILERI'!$G$2:$G$25</f>
              <numCache>
                <formatCode>0.00%</formatCode>
                <ptCount val="2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1189845689021"/>
          <min val="0.02535170101947438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'GRAFIK_VERILERI'!$L$2:$L$25</f>
              <numCache>
                <formatCode>0.00%</formatCode>
                <ptCount val="2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471989155289"/>
          <min val="0.030126275762711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'GRAFIK_VERILERI'!$C$2:$C$25</f>
              <numCache>
                <formatCode>0.00%</formatCode>
                <ptCount val="2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5863524282482"/>
          <min val="0.0222657388563731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'GRAFIK_VERILERI'!$H$2:$H$25</f>
              <numCache>
                <formatCode>0.00%</formatCode>
                <ptCount val="2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824431467956"/>
          <min val="0.0222436119581000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'GRAFIK_VERILERI'!$M$2:$M$25</f>
              <numCache>
                <formatCode>0.00%</formatCode>
                <ptCount val="2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9278891936068"/>
          <min val="0.0259603059066000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'GRAFIK_VERILERI'!$D$2:$D$25</f>
              <numCache>
                <formatCode>0.00%</formatCode>
                <ptCount val="2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5836726024003"/>
          <min val="0.01084554111941091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'GRAFIK_VERILERI'!$I$2:$I$25</f>
              <numCache>
                <formatCode>0.00%</formatCode>
                <ptCount val="2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'GRAFIK_VERILERI'!$N$2:$N$25</f>
              <numCache>
                <formatCode>0.00%</formatCode>
                <ptCount val="2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294818895646342"/>
          <min val="0.0171696925287207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'GRAFIK_VERILERI'!$E$2:$E$25</f>
              <numCache>
                <formatCode>0.00%</formatCode>
                <ptCount val="2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'GRAFIK_VERILERI'!$J$2:$J$25</f>
              <numCache>
                <formatCode>0.00%</formatCode>
                <ptCount val="2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'GRAFIK_VERILERI'!$O$2:$O$25</f>
              <numCache>
                <formatCode>0.00%</formatCode>
                <ptCount val="2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12409759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'GRAFIK_VERILERI'!$F$2:$F$25</f>
              <numCache>
                <formatCode>0.00%</formatCode>
                <ptCount val="2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'GRAFIK_VERILERI'!$K$2:$K$25</f>
              <numCache>
                <formatCode>0.00%</formatCode>
                <ptCount val="2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'GRAFIK_VERILERI'!$A$2:$A$25</f>
              <strCache>
                <ptCount val="2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</strCache>
            </strRef>
          </cat>
          <val>
            <numRef>
              <f>'GRAFIK_VERILERI'!$P$2:$P$25</f>
              <numCache>
                <formatCode>0.00%</formatCode>
                <ptCount val="2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593" headerRowCount="1">
  <autoFilter ref="A1:N259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table" Target="/xl/tables/table2.xml" Id="rId259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46285</v>
      </c>
      <c r="B2" s="6" t="n">
        <v>0.4690856481481481</v>
      </c>
      <c r="C2" s="7" t="inlineStr">
        <is>
          <t>Akbank</t>
        </is>
      </c>
      <c r="D2" s="8" t="n">
        <v>47.283</v>
      </c>
      <c r="E2" s="8" t="n">
        <v>49.983</v>
      </c>
      <c r="F2" s="8" t="n">
        <v>2.7</v>
      </c>
      <c r="G2" s="9" t="n">
        <v>0.05710297569951146</v>
      </c>
      <c r="H2" s="10" t="n">
        <v>54.3044</v>
      </c>
      <c r="I2" s="10" t="n">
        <v>57.4103</v>
      </c>
      <c r="J2" s="10" t="n">
        <v>3.1059</v>
      </c>
      <c r="K2" s="11" t="n">
        <v>0.05719426050191145</v>
      </c>
      <c r="L2" s="12" t="n">
        <v>6688.75</v>
      </c>
      <c r="M2" s="12" t="n">
        <v>7251.57</v>
      </c>
      <c r="N2" s="12" t="n">
        <v>562.8200000000001</v>
      </c>
      <c r="O2" s="13" t="n">
        <v>0.08414427209867315</v>
      </c>
    </row>
    <row r="3">
      <c r="A3" s="5" t="n">
        <v>46285</v>
      </c>
      <c r="B3" s="6" t="n">
        <v>0.4690856481481481</v>
      </c>
      <c r="C3" s="14" t="inlineStr">
        <is>
          <t>Albaraka Türk</t>
        </is>
      </c>
      <c r="D3" s="8" t="n">
        <v>48.304</v>
      </c>
      <c r="E3" s="8" t="n">
        <v>49.305</v>
      </c>
      <c r="F3" s="8" t="n">
        <v>1.001</v>
      </c>
      <c r="G3" s="9" t="n">
        <v>0.0207229214971845</v>
      </c>
      <c r="H3" s="10" t="n">
        <v>55.477</v>
      </c>
      <c r="I3" s="10" t="n">
        <v>56.637</v>
      </c>
      <c r="J3" s="10" t="n">
        <v>1.16</v>
      </c>
      <c r="K3" s="11" t="n">
        <v>0.02090956612650288</v>
      </c>
      <c r="L3" s="12" t="n">
        <v>6749.5</v>
      </c>
      <c r="M3" s="12" t="n">
        <v>6919.74</v>
      </c>
      <c r="N3" s="12" t="n">
        <v>170.24</v>
      </c>
      <c r="O3" s="13" t="n">
        <v>0.02522260908215423</v>
      </c>
    </row>
    <row r="4">
      <c r="A4" s="5" t="n">
        <v>46285</v>
      </c>
      <c r="B4" s="6" t="n">
        <v>0.4690856481481481</v>
      </c>
      <c r="C4" s="15" t="inlineStr">
        <is>
          <t>Alternatif Bank</t>
        </is>
      </c>
      <c r="D4" s="8" t="n">
        <v>46.599</v>
      </c>
      <c r="E4" s="8" t="n">
        <v>50.601</v>
      </c>
      <c r="F4" s="8" t="n">
        <v>4.002</v>
      </c>
      <c r="G4" s="9" t="n">
        <v>0.08588167128049959</v>
      </c>
      <c r="H4" s="10" t="n">
        <v>53.246</v>
      </c>
      <c r="I4" s="10" t="n">
        <v>57.999</v>
      </c>
      <c r="J4" s="10" t="n">
        <v>4.753</v>
      </c>
      <c r="K4" s="11" t="n">
        <v>0.0892649213086429</v>
      </c>
      <c r="L4" s="12" t="n">
        <v>6496.04</v>
      </c>
      <c r="M4" s="12" t="n">
        <v>7082.03</v>
      </c>
      <c r="N4" s="12" t="n">
        <v>585.99</v>
      </c>
      <c r="O4" s="13" t="n">
        <v>0.09020726473359154</v>
      </c>
    </row>
    <row r="5">
      <c r="A5" s="5" t="n">
        <v>46285</v>
      </c>
      <c r="B5" s="6" t="n">
        <v>0.4690856481481481</v>
      </c>
      <c r="C5" s="16" t="inlineStr">
        <is>
          <t>Altınkaynak</t>
        </is>
      </c>
      <c r="D5" s="8" t="n">
        <v>48.587</v>
      </c>
      <c r="E5" s="8" t="n">
        <v>48.83</v>
      </c>
      <c r="F5" s="8" t="n">
        <v>0.243</v>
      </c>
      <c r="G5" s="9" t="n">
        <v>0.005001337806409122</v>
      </c>
      <c r="H5" s="10" t="n">
        <v>55.694</v>
      </c>
      <c r="I5" s="10" t="n">
        <v>56.085</v>
      </c>
      <c r="J5" s="10" t="n">
        <v>0.391</v>
      </c>
      <c r="K5" s="11" t="n">
        <v>0.007020504901784752</v>
      </c>
      <c r="L5" s="12" t="n">
        <v>6763.29</v>
      </c>
      <c r="M5" s="12" t="n">
        <v>6925</v>
      </c>
      <c r="N5" s="12" t="n">
        <v>161.71</v>
      </c>
      <c r="O5" s="13" t="n">
        <v>0.02390996098052871</v>
      </c>
    </row>
    <row r="6">
      <c r="A6" s="5" t="n">
        <v>46285</v>
      </c>
      <c r="B6" s="6" t="n">
        <v>0.4690856481481481</v>
      </c>
      <c r="C6" s="17" t="inlineStr">
        <is>
          <t>Anadolubank</t>
        </is>
      </c>
      <c r="D6" s="8" t="n">
        <v>48.1431</v>
      </c>
      <c r="E6" s="8" t="n">
        <v>49.1987</v>
      </c>
      <c r="F6" s="8" t="n">
        <v>1.0556</v>
      </c>
      <c r="G6" s="9" t="n">
        <v>0.0219262988881065</v>
      </c>
      <c r="H6" s="10" t="n">
        <v>54.6576</v>
      </c>
      <c r="I6" s="10" t="n">
        <v>57.0798</v>
      </c>
      <c r="J6" s="10" t="n">
        <v>2.4222</v>
      </c>
      <c r="K6" s="11" t="n">
        <v>0.04431588653727935</v>
      </c>
      <c r="L6" s="12" t="n">
        <v>6206.54</v>
      </c>
      <c r="M6" s="12" t="n">
        <v>7417.67</v>
      </c>
      <c r="N6" s="12" t="n">
        <v>1211.13</v>
      </c>
      <c r="O6" s="13" t="n">
        <v>0.1951377095773168</v>
      </c>
    </row>
    <row r="7">
      <c r="A7" s="5" t="n">
        <v>46285</v>
      </c>
      <c r="B7" s="6" t="n">
        <v>0.4690856481481481</v>
      </c>
      <c r="C7" s="18" t="inlineStr">
        <is>
          <t>CEPTETEB</t>
        </is>
      </c>
      <c r="D7" s="8" t="n">
        <v>46.601</v>
      </c>
      <c r="E7" s="8" t="n">
        <v>50.778</v>
      </c>
      <c r="F7" s="8" t="n">
        <v>4.177</v>
      </c>
      <c r="G7" s="9" t="n">
        <v>0.08963326967232463</v>
      </c>
      <c r="H7" s="10" t="n">
        <v>53.419</v>
      </c>
      <c r="I7" s="10" t="n">
        <v>58.207</v>
      </c>
      <c r="J7" s="10" t="n">
        <v>4.788</v>
      </c>
      <c r="K7" s="11" t="n">
        <v>0.08963103015780902</v>
      </c>
      <c r="L7" s="12" t="n">
        <v>5836.03</v>
      </c>
      <c r="M7" s="12" t="n">
        <v>7840.72</v>
      </c>
      <c r="N7" s="12" t="n">
        <v>2004.69</v>
      </c>
      <c r="O7" s="13" t="n">
        <v>0.3435023466294724</v>
      </c>
    </row>
    <row r="8">
      <c r="A8" s="5" t="n">
        <v>46285</v>
      </c>
      <c r="B8" s="6" t="n">
        <v>0.4690856481481481</v>
      </c>
      <c r="C8" s="19" t="inlineStr">
        <is>
          <t>Denizbank</t>
        </is>
      </c>
      <c r="D8" s="8" t="n">
        <v>47.2191</v>
      </c>
      <c r="E8" s="8" t="n">
        <v>50.0192</v>
      </c>
      <c r="F8" s="8" t="n">
        <v>2.8001</v>
      </c>
      <c r="G8" s="9" t="n">
        <v>0.05930015608090794</v>
      </c>
      <c r="H8" s="10" t="n">
        <v>54.2285</v>
      </c>
      <c r="I8" s="10" t="n">
        <v>57.4493</v>
      </c>
      <c r="J8" s="10" t="n">
        <v>3.2208</v>
      </c>
      <c r="K8" s="11" t="n">
        <v>0.05939312354204893</v>
      </c>
      <c r="L8" s="12" t="n">
        <v>6643.65</v>
      </c>
      <c r="M8" s="12" t="n">
        <v>7039.24</v>
      </c>
      <c r="N8" s="12" t="n">
        <v>395.59</v>
      </c>
      <c r="O8" s="13" t="n">
        <v>0.05954407592212112</v>
      </c>
    </row>
    <row r="9">
      <c r="A9" s="5" t="n">
        <v>46285</v>
      </c>
      <c r="B9" s="6" t="n">
        <v>0.4690856481481481</v>
      </c>
      <c r="C9" s="20" t="inlineStr">
        <is>
          <t>DestekBank</t>
        </is>
      </c>
      <c r="D9" s="8" t="n">
        <v>48.4751</v>
      </c>
      <c r="E9" s="8" t="n">
        <v>48.7848</v>
      </c>
      <c r="F9" s="8" t="n">
        <v>0.3097</v>
      </c>
      <c r="G9" s="9" t="n">
        <v>0.006388847057561511</v>
      </c>
      <c r="H9" s="10" t="n">
        <v>55.6578</v>
      </c>
      <c r="I9" s="10" t="n">
        <v>56.0356</v>
      </c>
      <c r="J9" s="10" t="n">
        <v>0.3778</v>
      </c>
      <c r="K9" s="11" t="n">
        <v>0.006787907534972636</v>
      </c>
      <c r="L9" s="12" t="n">
        <v>6775.78</v>
      </c>
      <c r="M9" s="12" t="n">
        <v>6840.6</v>
      </c>
      <c r="N9" s="12" t="n">
        <v>64.81999999999999</v>
      </c>
      <c r="O9" s="13" t="n">
        <v>0.009566426300735856</v>
      </c>
    </row>
    <row r="10">
      <c r="A10" s="5" t="n">
        <v>46285</v>
      </c>
      <c r="B10" s="6" t="n">
        <v>0.4690856481481481</v>
      </c>
      <c r="C10" s="21" t="inlineStr">
        <is>
          <t>Dünya Katılım</t>
        </is>
      </c>
      <c r="D10" s="8" t="n">
        <v>48.6268</v>
      </c>
      <c r="E10" s="8" t="n">
        <v>48.7532</v>
      </c>
      <c r="F10" s="8" t="n">
        <v>0.1264</v>
      </c>
      <c r="G10" s="9" t="n">
        <v>0.002599389636990302</v>
      </c>
      <c r="H10" s="10" t="n">
        <v>55.7653</v>
      </c>
      <c r="I10" s="10" t="n">
        <v>56.0396</v>
      </c>
      <c r="J10" s="10" t="n">
        <v>0.2743</v>
      </c>
      <c r="K10" s="11" t="n">
        <v>0.004918829451289602</v>
      </c>
      <c r="L10" s="12" t="n">
        <v>6795.82</v>
      </c>
      <c r="M10" s="12" t="n">
        <v>6840.79</v>
      </c>
      <c r="N10" s="12" t="n">
        <v>44.97</v>
      </c>
      <c r="O10" s="13" t="n">
        <v>0.006617302989190415</v>
      </c>
    </row>
    <row r="11">
      <c r="A11" s="5" t="n">
        <v>46285</v>
      </c>
      <c r="B11" s="6" t="n">
        <v>0.4690856481481481</v>
      </c>
      <c r="C11" s="22" t="inlineStr">
        <is>
          <t>Emlak Katılım</t>
        </is>
      </c>
      <c r="D11" s="8" t="n">
        <v>48.0342</v>
      </c>
      <c r="E11" s="8" t="n">
        <v>50.1288</v>
      </c>
      <c r="F11" s="8" t="n">
        <v>2.0946</v>
      </c>
      <c r="G11" s="9" t="n">
        <v>0.04360643041832694</v>
      </c>
      <c r="H11" s="10" t="n">
        <v>55.1187</v>
      </c>
      <c r="I11" s="10" t="n">
        <v>57.3748</v>
      </c>
      <c r="J11" s="10" t="n">
        <v>2.2561</v>
      </c>
      <c r="K11" s="11" t="n">
        <v>0.04093166203121626</v>
      </c>
      <c r="L11" s="12" t="n">
        <v>5774.47</v>
      </c>
      <c r="M11" s="12" t="n">
        <v>7543.52</v>
      </c>
      <c r="N11" s="12" t="n">
        <v>1769.05</v>
      </c>
      <c r="O11" s="13" t="n">
        <v>0.3063571202205571</v>
      </c>
    </row>
    <row r="12">
      <c r="A12" s="5" t="n">
        <v>46285</v>
      </c>
      <c r="B12" s="6" t="n">
        <v>0.4690856481481481</v>
      </c>
      <c r="C12" s="23" t="inlineStr">
        <is>
          <t>Enpara</t>
        </is>
      </c>
      <c r="D12" s="8" t="n">
        <v>47.935</v>
      </c>
      <c r="E12" s="8" t="n">
        <v>49.635</v>
      </c>
      <c r="F12" s="8" t="n">
        <v>1.7</v>
      </c>
      <c r="G12" s="9" t="n">
        <v>0.03546469177010535</v>
      </c>
      <c r="H12" s="10" t="n">
        <v>54.7685</v>
      </c>
      <c r="I12" s="10" t="n">
        <v>57.2909</v>
      </c>
      <c r="J12" s="10" t="n">
        <v>2.5224</v>
      </c>
      <c r="K12" s="11" t="n">
        <v>0.04605567068661731</v>
      </c>
      <c r="L12" s="12" t="n">
        <v>6678.17</v>
      </c>
      <c r="M12" s="12" t="n">
        <v>7068.33</v>
      </c>
      <c r="N12" s="12" t="n">
        <v>390.16</v>
      </c>
      <c r="O12" s="13" t="n">
        <v>0.05842319078430169</v>
      </c>
    </row>
    <row r="13">
      <c r="A13" s="5" t="n">
        <v>46285</v>
      </c>
      <c r="B13" s="6" t="n">
        <v>0.4690856481481481</v>
      </c>
      <c r="C13" s="24" t="inlineStr">
        <is>
          <t>Fibabanka</t>
        </is>
      </c>
      <c r="D13" s="8" t="n">
        <v>47.318</v>
      </c>
      <c r="E13" s="8" t="n">
        <v>50.3692</v>
      </c>
      <c r="F13" s="8" t="n">
        <v>3.0512</v>
      </c>
      <c r="G13" s="9" t="n">
        <v>0.06448286064499768</v>
      </c>
      <c r="H13" s="10" t="n">
        <v>54.0792</v>
      </c>
      <c r="I13" s="10" t="n">
        <v>58.258</v>
      </c>
      <c r="J13" s="10" t="n">
        <v>4.1788</v>
      </c>
      <c r="K13" s="11" t="n">
        <v>0.0772718531339221</v>
      </c>
      <c r="L13" s="12" t="n">
        <v>6586</v>
      </c>
      <c r="M13" s="12" t="n">
        <v>7312.91</v>
      </c>
      <c r="N13" s="12" t="n">
        <v>726.91</v>
      </c>
      <c r="O13" s="13" t="n">
        <v>0.1103720012146978</v>
      </c>
    </row>
    <row r="14">
      <c r="A14" s="5" t="n">
        <v>46285</v>
      </c>
      <c r="B14" s="6" t="n">
        <v>0.4690856481481481</v>
      </c>
      <c r="C14" s="25" t="inlineStr">
        <is>
          <t>Garanti BBVA</t>
        </is>
      </c>
      <c r="D14" s="8" t="n">
        <v>47.547</v>
      </c>
      <c r="E14" s="8" t="n">
        <v>49.547</v>
      </c>
      <c r="F14" s="8" t="n">
        <v>2</v>
      </c>
      <c r="G14" s="9" t="n">
        <v>0.04206364229078596</v>
      </c>
      <c r="H14" s="10" t="n">
        <v>54.598</v>
      </c>
      <c r="I14" s="10" t="n">
        <v>56.894</v>
      </c>
      <c r="J14" s="10" t="n">
        <v>2.296</v>
      </c>
      <c r="K14" s="11" t="n">
        <v>0.04205282244770871</v>
      </c>
      <c r="L14" s="12" t="n">
        <v>6632.99</v>
      </c>
      <c r="M14" s="12" t="n">
        <v>7101.32</v>
      </c>
      <c r="N14" s="12" t="n">
        <v>468.33</v>
      </c>
      <c r="O14" s="13" t="n">
        <v>0.07060616705286756</v>
      </c>
    </row>
    <row r="15">
      <c r="A15" s="5" t="n">
        <v>46285</v>
      </c>
      <c r="B15" s="6" t="n">
        <v>0.4690856481481481</v>
      </c>
      <c r="C15" s="26" t="inlineStr">
        <is>
          <t>Getirfinans</t>
        </is>
      </c>
      <c r="D15" s="8" t="n">
        <v>47.318</v>
      </c>
      <c r="E15" s="8" t="n">
        <v>50.3692</v>
      </c>
      <c r="F15" s="8" t="n">
        <v>3.0512</v>
      </c>
      <c r="G15" s="9" t="n">
        <v>0.06448286064499768</v>
      </c>
      <c r="H15" s="10" t="n">
        <v>54.0792</v>
      </c>
      <c r="I15" s="10" t="n">
        <v>58.258</v>
      </c>
      <c r="J15" s="10" t="n">
        <v>4.1788</v>
      </c>
      <c r="K15" s="11" t="n">
        <v>0.0772718531339221</v>
      </c>
      <c r="L15" s="12" t="n">
        <v>6586</v>
      </c>
      <c r="M15" s="12" t="n">
        <v>7312.91</v>
      </c>
      <c r="N15" s="12" t="n">
        <v>726.91</v>
      </c>
      <c r="O15" s="13" t="n">
        <v>0.1103720012146978</v>
      </c>
    </row>
    <row r="16">
      <c r="A16" s="5" t="n">
        <v>46285</v>
      </c>
      <c r="B16" s="6" t="n">
        <v>0.4690856481481481</v>
      </c>
      <c r="C16" s="27" t="inlineStr">
        <is>
          <t>Halkbank</t>
        </is>
      </c>
      <c r="D16" s="8" t="n">
        <v>47.505</v>
      </c>
      <c r="E16" s="8" t="n">
        <v>50.205</v>
      </c>
      <c r="F16" s="8" t="n">
        <v>2.7</v>
      </c>
      <c r="G16" s="9" t="n">
        <v>0.05683612251341964</v>
      </c>
      <c r="H16" s="10" t="n">
        <v>54.4455</v>
      </c>
      <c r="I16" s="10" t="n">
        <v>57.54</v>
      </c>
      <c r="J16" s="10" t="n">
        <v>3.0945</v>
      </c>
      <c r="K16" s="11" t="n">
        <v>0.0568366531669284</v>
      </c>
      <c r="L16" s="12" t="n">
        <v>6430.11</v>
      </c>
      <c r="M16" s="12" t="n">
        <v>7325.61</v>
      </c>
      <c r="N16" s="12" t="n">
        <v>895.5</v>
      </c>
      <c r="O16" s="13" t="n">
        <v>0.1392666688439234</v>
      </c>
    </row>
    <row r="17">
      <c r="A17" s="5" t="n">
        <v>46285</v>
      </c>
      <c r="B17" s="6" t="n">
        <v>0.4690856481481481</v>
      </c>
      <c r="C17" s="28" t="inlineStr">
        <is>
          <t>Harem</t>
        </is>
      </c>
      <c r="D17" s="8" t="n">
        <v>48.599</v>
      </c>
      <c r="E17" s="8" t="n">
        <v>48.734</v>
      </c>
      <c r="F17" s="8" t="n">
        <v>0.135</v>
      </c>
      <c r="G17" s="9" t="n">
        <v>0.002777834934875203</v>
      </c>
      <c r="H17" s="10" t="n">
        <v>55.705</v>
      </c>
      <c r="I17" s="10" t="n">
        <v>55.941</v>
      </c>
      <c r="J17" s="10" t="n">
        <v>0.236</v>
      </c>
      <c r="K17" s="11" t="n">
        <v>0.00423660353648685</v>
      </c>
      <c r="L17" s="12" t="n">
        <v>6783.77</v>
      </c>
      <c r="M17" s="12" t="n">
        <v>6873.9</v>
      </c>
      <c r="N17" s="12" t="n">
        <v>90.13</v>
      </c>
      <c r="O17" s="13" t="n">
        <v>0.01328612261323718</v>
      </c>
    </row>
    <row r="18">
      <c r="A18" s="5" t="n">
        <v>46285</v>
      </c>
      <c r="B18" s="6" t="n">
        <v>0.4690856481481481</v>
      </c>
      <c r="C18" s="29" t="inlineStr">
        <is>
          <t>Hayat Finans</t>
        </is>
      </c>
      <c r="D18" s="8" t="n">
        <v>48.1249</v>
      </c>
      <c r="E18" s="8" t="n">
        <v>48.8519</v>
      </c>
      <c r="F18" s="8" t="n">
        <v>0.727</v>
      </c>
      <c r="G18" s="9" t="n">
        <v>0.01510652489667511</v>
      </c>
      <c r="H18" s="10" t="n">
        <v>55.3892</v>
      </c>
      <c r="I18" s="10" t="n">
        <v>56.1211</v>
      </c>
      <c r="J18" s="10" t="n">
        <v>0.7319</v>
      </c>
      <c r="K18" s="11" t="n">
        <v>0.01321376730481755</v>
      </c>
      <c r="L18" s="12" t="n">
        <v>6791.11</v>
      </c>
      <c r="M18" s="12" t="n">
        <v>6941.66</v>
      </c>
      <c r="N18" s="12" t="n">
        <v>150.55</v>
      </c>
      <c r="O18" s="13" t="n">
        <v>0.02216868818204977</v>
      </c>
    </row>
    <row r="19">
      <c r="A19" s="5" t="n">
        <v>46285</v>
      </c>
      <c r="B19" s="6" t="n">
        <v>0.4690856481481481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6732.7</v>
      </c>
      <c r="M19" s="12" t="n">
        <v>6928.31</v>
      </c>
      <c r="N19" s="12" t="n">
        <v>195.61</v>
      </c>
      <c r="O19" s="13" t="n">
        <v>0.02905372287492388</v>
      </c>
    </row>
    <row r="20">
      <c r="A20" s="5" t="n">
        <v>46285</v>
      </c>
      <c r="B20" s="6" t="n">
        <v>0.4690856481481481</v>
      </c>
      <c r="C20" s="31" t="inlineStr">
        <is>
          <t>HSBC</t>
        </is>
      </c>
      <c r="D20" s="8" t="n">
        <v>47.9828</v>
      </c>
      <c r="E20" s="8" t="n">
        <v>49.8986</v>
      </c>
      <c r="F20" s="8" t="n">
        <v>1.9158</v>
      </c>
      <c r="G20" s="9" t="n">
        <v>0.03992680710587961</v>
      </c>
      <c r="H20" s="10" t="n">
        <v>54.6535</v>
      </c>
      <c r="I20" s="10" t="n">
        <v>57.796</v>
      </c>
      <c r="J20" s="10" t="n">
        <v>3.1425</v>
      </c>
      <c r="K20" s="11" t="n">
        <v>0.0574986048468991</v>
      </c>
      <c r="L20" s="12" t="n">
        <v>6692.96</v>
      </c>
      <c r="M20" s="12" t="n">
        <v>7339.87</v>
      </c>
      <c r="N20" s="12" t="n">
        <v>646.91</v>
      </c>
      <c r="O20" s="13" t="n">
        <v>0.09665529153020486</v>
      </c>
    </row>
    <row r="21">
      <c r="A21" s="5" t="n">
        <v>46285</v>
      </c>
      <c r="B21" s="6" t="n">
        <v>0.4690856481481481</v>
      </c>
      <c r="C21" s="32" t="inlineStr">
        <is>
          <t>ING Bank</t>
        </is>
      </c>
      <c r="D21" s="8" t="n">
        <v>47.5954</v>
      </c>
      <c r="E21" s="8" t="n">
        <v>49.6791</v>
      </c>
      <c r="F21" s="8" t="n">
        <v>2.0837</v>
      </c>
      <c r="G21" s="9" t="n">
        <v>0.04377944087033621</v>
      </c>
      <c r="H21" s="10" t="n">
        <v>54.7267</v>
      </c>
      <c r="I21" s="10" t="n">
        <v>57.0154</v>
      </c>
      <c r="J21" s="10" t="n">
        <v>2.2887</v>
      </c>
      <c r="K21" s="11" t="n">
        <v>0.04182053732456004</v>
      </c>
      <c r="L21" s="12" t="n">
        <v>6648.1</v>
      </c>
      <c r="M21" s="12" t="n">
        <v>7047.23</v>
      </c>
      <c r="N21" s="12" t="n">
        <v>399.13</v>
      </c>
      <c r="O21" s="13" t="n">
        <v>0.06003670221567064</v>
      </c>
    </row>
    <row r="22">
      <c r="A22" s="5" t="n">
        <v>46285</v>
      </c>
      <c r="B22" s="6" t="n">
        <v>0.4690856481481481</v>
      </c>
      <c r="C22" s="33" t="inlineStr">
        <is>
          <t>İş Bankası</t>
        </is>
      </c>
      <c r="D22" s="8" t="n">
        <v>47.4919</v>
      </c>
      <c r="E22" s="8" t="n">
        <v>50.1114</v>
      </c>
      <c r="F22" s="8" t="n">
        <v>2.6195</v>
      </c>
      <c r="G22" s="9" t="n">
        <v>0.05515677410253117</v>
      </c>
      <c r="H22" s="10" t="n">
        <v>54.5539</v>
      </c>
      <c r="I22" s="10" t="n">
        <v>57.568</v>
      </c>
      <c r="J22" s="10" t="n">
        <v>3.0141</v>
      </c>
      <c r="K22" s="11" t="n">
        <v>0.05524994546677689</v>
      </c>
      <c r="L22" s="12" t="n">
        <v>6432.87</v>
      </c>
      <c r="M22" s="12" t="n">
        <v>7289.47</v>
      </c>
      <c r="N22" s="12" t="n">
        <v>856.6</v>
      </c>
      <c r="O22" s="13" t="n">
        <v>0.1331598493362993</v>
      </c>
    </row>
    <row r="23">
      <c r="A23" s="5" t="n">
        <v>46285</v>
      </c>
      <c r="B23" s="6" t="n">
        <v>0.4690856481481481</v>
      </c>
      <c r="C23" s="34" t="inlineStr">
        <is>
          <t>Kapalıçarşı</t>
        </is>
      </c>
      <c r="D23" s="8" t="n">
        <v>48.63</v>
      </c>
      <c r="E23" s="8" t="n">
        <v>48.65</v>
      </c>
      <c r="F23" s="8" t="n">
        <v>0.02</v>
      </c>
      <c r="G23" s="9" t="n">
        <v>0.0004112687641373638</v>
      </c>
      <c r="H23" s="10" t="n">
        <v>55.6</v>
      </c>
      <c r="I23" s="10" t="n">
        <v>55.65</v>
      </c>
      <c r="J23" s="10" t="n">
        <v>0.05</v>
      </c>
      <c r="K23" s="11" t="n">
        <v>0.0008992805755395683</v>
      </c>
      <c r="L23" s="12" t="n">
        <v>6791.09</v>
      </c>
      <c r="M23" s="12" t="n">
        <v>6798.78</v>
      </c>
      <c r="N23" s="12" t="n">
        <v>7.69</v>
      </c>
      <c r="O23" s="13" t="n">
        <v>0.001132366085562112</v>
      </c>
    </row>
    <row r="24">
      <c r="A24" s="5" t="n">
        <v>46285</v>
      </c>
      <c r="B24" s="6" t="n">
        <v>0.4690856481481481</v>
      </c>
      <c r="C24" s="35" t="inlineStr">
        <is>
          <t>Kuveyt Türk</t>
        </is>
      </c>
      <c r="D24" s="8" t="n">
        <v>45.2085</v>
      </c>
      <c r="E24" s="8" t="n">
        <v>49.7336</v>
      </c>
      <c r="F24" s="8" t="n">
        <v>4.5251</v>
      </c>
      <c r="G24" s="9" t="n">
        <v>0.1000940088700134</v>
      </c>
      <c r="H24" s="10" t="n">
        <v>51.912</v>
      </c>
      <c r="I24" s="10" t="n">
        <v>57.1379</v>
      </c>
      <c r="J24" s="10" t="n">
        <v>5.2259</v>
      </c>
      <c r="K24" s="11" t="n">
        <v>0.1006684388965942</v>
      </c>
      <c r="L24" s="12" t="n">
        <v>6412.15</v>
      </c>
      <c r="M24" s="12" t="n">
        <v>7035.59</v>
      </c>
      <c r="N24" s="12" t="n">
        <v>623.4400000000001</v>
      </c>
      <c r="O24" s="13" t="n">
        <v>0.09722791887276498</v>
      </c>
    </row>
    <row r="25">
      <c r="A25" s="5" t="n">
        <v>46285</v>
      </c>
      <c r="B25" s="6" t="n">
        <v>0.4690856481481481</v>
      </c>
      <c r="C25" s="36" t="inlineStr">
        <is>
          <t>Merkez Bankası</t>
        </is>
      </c>
      <c r="D25" s="8" t="n">
        <v>48.6116</v>
      </c>
      <c r="E25" s="8" t="n">
        <v>48.6992</v>
      </c>
      <c r="F25" s="8" t="n">
        <v>0.0876</v>
      </c>
      <c r="G25" s="9" t="n">
        <v>0.00180203901949329</v>
      </c>
      <c r="H25" s="10" t="n">
        <v>55.7981</v>
      </c>
      <c r="I25" s="10" t="n">
        <v>55.8986</v>
      </c>
      <c r="J25" s="10" t="n">
        <v>0.1005</v>
      </c>
      <c r="K25" s="11" t="n">
        <v>0.001801136597841145</v>
      </c>
      <c r="L25" s="12" t="n"/>
      <c r="M25" s="12" t="n"/>
      <c r="N25" s="12" t="n"/>
      <c r="O25" s="13" t="n"/>
    </row>
    <row r="26">
      <c r="A26" s="5" t="n">
        <v>46285</v>
      </c>
      <c r="B26" s="6" t="n">
        <v>0.4690856481481481</v>
      </c>
      <c r="C26" s="37" t="inlineStr">
        <is>
          <t>Misyon Bank</t>
        </is>
      </c>
      <c r="D26" s="8" t="n">
        <v>48.4318</v>
      </c>
      <c r="E26" s="8" t="n">
        <v>48.8308</v>
      </c>
      <c r="F26" s="8" t="n">
        <v>0.399</v>
      </c>
      <c r="G26" s="9" t="n">
        <v>0.008238388827175534</v>
      </c>
      <c r="H26" s="10" t="n">
        <v>55.7019</v>
      </c>
      <c r="I26" s="10" t="n">
        <v>56.0336</v>
      </c>
      <c r="J26" s="10" t="n">
        <v>0.3317</v>
      </c>
      <c r="K26" s="11" t="n">
        <v>0.005954913566682644</v>
      </c>
      <c r="L26" s="12" t="n">
        <v>6771.09</v>
      </c>
      <c r="M26" s="12" t="n">
        <v>6846.61</v>
      </c>
      <c r="N26" s="12" t="n">
        <v>75.52</v>
      </c>
      <c r="O26" s="13" t="n">
        <v>0.01115330028104781</v>
      </c>
    </row>
    <row r="27">
      <c r="A27" s="5" t="n">
        <v>46285</v>
      </c>
      <c r="B27" s="6" t="n">
        <v>0.4690856481481481</v>
      </c>
      <c r="C27" s="38" t="inlineStr">
        <is>
          <t>Odacı</t>
        </is>
      </c>
      <c r="D27" s="8" t="n">
        <v>48.566</v>
      </c>
      <c r="E27" s="8" t="n">
        <v>48.84</v>
      </c>
      <c r="F27" s="8" t="n">
        <v>0.274</v>
      </c>
      <c r="G27" s="9" t="n">
        <v>0.005641807025491084</v>
      </c>
      <c r="H27" s="10" t="n">
        <v>55.68</v>
      </c>
      <c r="I27" s="10" t="n">
        <v>55.976</v>
      </c>
      <c r="J27" s="10" t="n">
        <v>0.296</v>
      </c>
      <c r="K27" s="11" t="n">
        <v>0.005316091954022989</v>
      </c>
      <c r="L27" s="12" t="n">
        <v>6793</v>
      </c>
      <c r="M27" s="12" t="n">
        <v>6864</v>
      </c>
      <c r="N27" s="12" t="n">
        <v>71</v>
      </c>
      <c r="O27" s="13" t="n">
        <v>0.01045193581628147</v>
      </c>
    </row>
    <row r="28">
      <c r="A28" s="5" t="n">
        <v>46285</v>
      </c>
      <c r="B28" s="6" t="n">
        <v>0.4690856481481481</v>
      </c>
      <c r="C28" s="39" t="inlineStr">
        <is>
          <t>Odeabank</t>
        </is>
      </c>
      <c r="D28" s="8" t="n">
        <v>47.7585</v>
      </c>
      <c r="E28" s="8" t="n">
        <v>49.5585</v>
      </c>
      <c r="F28" s="8" t="n">
        <v>1.8</v>
      </c>
      <c r="G28" s="9" t="n">
        <v>0.03768962593046263</v>
      </c>
      <c r="H28" s="10" t="n">
        <v>54.806</v>
      </c>
      <c r="I28" s="10" t="n">
        <v>56.946</v>
      </c>
      <c r="J28" s="10" t="n">
        <v>2.14</v>
      </c>
      <c r="K28" s="11" t="n">
        <v>0.03904681969127468</v>
      </c>
      <c r="L28" s="12" t="n">
        <v>6674.92</v>
      </c>
      <c r="M28" s="12" t="n">
        <v>7024.92</v>
      </c>
      <c r="N28" s="12" t="n">
        <v>350</v>
      </c>
      <c r="O28" s="13" t="n">
        <v>0.05243508536431898</v>
      </c>
    </row>
    <row r="29">
      <c r="A29" s="5" t="n">
        <v>46285</v>
      </c>
      <c r="B29" s="6" t="n">
        <v>0.4690856481481481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6732.7</v>
      </c>
      <c r="M29" s="12" t="n">
        <v>6914.48</v>
      </c>
      <c r="N29" s="12" t="n">
        <v>181.78</v>
      </c>
      <c r="O29" s="13" t="n">
        <v>0.02699956926641615</v>
      </c>
    </row>
    <row r="30">
      <c r="A30" s="5" t="n">
        <v>46285</v>
      </c>
      <c r="B30" s="6" t="n">
        <v>0.4690856481481481</v>
      </c>
      <c r="C30" s="41" t="inlineStr">
        <is>
          <t>QNB Finansbank</t>
        </is>
      </c>
      <c r="D30" s="8" t="n">
        <v>47.275</v>
      </c>
      <c r="E30" s="8" t="n">
        <v>50.295</v>
      </c>
      <c r="F30" s="8" t="n">
        <v>3.02</v>
      </c>
      <c r="G30" s="9" t="n">
        <v>0.06388154415653094</v>
      </c>
      <c r="H30" s="10" t="n">
        <v>53.7376</v>
      </c>
      <c r="I30" s="10" t="n">
        <v>58.3473</v>
      </c>
      <c r="J30" s="10" t="n">
        <v>4.6097</v>
      </c>
      <c r="K30" s="11" t="n">
        <v>0.08578165009230036</v>
      </c>
      <c r="L30" s="12" t="n">
        <v>6525.52</v>
      </c>
      <c r="M30" s="12" t="n">
        <v>7146.66</v>
      </c>
      <c r="N30" s="12" t="n">
        <v>621.14</v>
      </c>
      <c r="O30" s="13" t="n">
        <v>0.09518628400495287</v>
      </c>
    </row>
    <row r="31">
      <c r="A31" s="5" t="n">
        <v>46285</v>
      </c>
      <c r="B31" s="6" t="n">
        <v>0.4690856481481481</v>
      </c>
      <c r="C31" s="42" t="inlineStr">
        <is>
          <t>TOM Bank Hadi</t>
        </is>
      </c>
      <c r="D31" s="8" t="n">
        <v>48.4631</v>
      </c>
      <c r="E31" s="8" t="n">
        <v>49.0117</v>
      </c>
      <c r="F31" s="8" t="n">
        <v>0.5486</v>
      </c>
      <c r="G31" s="9" t="n">
        <v>0.01131995270628581</v>
      </c>
      <c r="H31" s="10" t="n">
        <v>55.4522</v>
      </c>
      <c r="I31" s="10" t="n">
        <v>56.2924</v>
      </c>
      <c r="J31" s="10" t="n">
        <v>0.8401999999999999</v>
      </c>
      <c r="K31" s="11" t="n">
        <v>0.01515178838711539</v>
      </c>
      <c r="L31" s="12" t="n">
        <v>6659.46</v>
      </c>
      <c r="M31" s="12" t="n">
        <v>6915.6</v>
      </c>
      <c r="N31" s="12" t="n">
        <v>256.14</v>
      </c>
      <c r="O31" s="13" t="n">
        <v>0.03846257804686867</v>
      </c>
    </row>
    <row r="32">
      <c r="A32" s="5" t="n">
        <v>46285</v>
      </c>
      <c r="B32" s="6" t="n">
        <v>0.4690856481481481</v>
      </c>
      <c r="C32" s="43" t="inlineStr">
        <is>
          <t>Türkiye Finans</t>
        </is>
      </c>
      <c r="D32" s="8" t="n">
        <v>48.1772</v>
      </c>
      <c r="E32" s="8" t="n">
        <v>49.0814</v>
      </c>
      <c r="F32" s="8" t="n">
        <v>0.9042</v>
      </c>
      <c r="G32" s="9" t="n">
        <v>0.01876821400994661</v>
      </c>
      <c r="H32" s="10" t="n">
        <v>55.3617</v>
      </c>
      <c r="I32" s="10" t="n">
        <v>56.3345</v>
      </c>
      <c r="J32" s="10" t="n">
        <v>0.9728</v>
      </c>
      <c r="K32" s="11" t="n">
        <v>0.01757171474141871</v>
      </c>
      <c r="L32" s="12" t="n">
        <v>6737.59</v>
      </c>
      <c r="M32" s="12" t="n">
        <v>6949.4</v>
      </c>
      <c r="N32" s="12" t="n">
        <v>211.81</v>
      </c>
      <c r="O32" s="13" t="n">
        <v>0.03143705687048336</v>
      </c>
    </row>
    <row r="33">
      <c r="A33" s="5" t="n">
        <v>46285</v>
      </c>
      <c r="B33" s="6" t="n">
        <v>0.4690856481481481</v>
      </c>
      <c r="C33" s="44" t="inlineStr">
        <is>
          <t>Vakıf Katılım</t>
        </is>
      </c>
      <c r="D33" s="8" t="n">
        <v>48.3548</v>
      </c>
      <c r="E33" s="8" t="n">
        <v>48.9694</v>
      </c>
      <c r="F33" s="8" t="n">
        <v>0.6146</v>
      </c>
      <c r="G33" s="9" t="n">
        <v>0.01271021697949325</v>
      </c>
      <c r="H33" s="10" t="n">
        <v>55.508</v>
      </c>
      <c r="I33" s="10" t="n">
        <v>56.182</v>
      </c>
      <c r="J33" s="10" t="n">
        <v>0.674</v>
      </c>
      <c r="K33" s="11" t="n">
        <v>0.01214239388916913</v>
      </c>
      <c r="L33" s="12" t="n">
        <v>6735.77</v>
      </c>
      <c r="M33" s="12" t="n">
        <v>6899.39</v>
      </c>
      <c r="N33" s="12" t="n">
        <v>163.62</v>
      </c>
      <c r="O33" s="13" t="n">
        <v>0.02429120946825679</v>
      </c>
    </row>
    <row r="34">
      <c r="A34" s="5" t="n">
        <v>46285</v>
      </c>
      <c r="B34" s="6" t="n">
        <v>0.4690856481481481</v>
      </c>
      <c r="C34" s="45" t="inlineStr">
        <is>
          <t>Vakıfbank</t>
        </is>
      </c>
      <c r="D34" s="8" t="n">
        <v>47.4101</v>
      </c>
      <c r="E34" s="8" t="n">
        <v>50.1951</v>
      </c>
      <c r="F34" s="8" t="n">
        <v>2.785</v>
      </c>
      <c r="G34" s="9" t="n">
        <v>0.05874275734495393</v>
      </c>
      <c r="H34" s="10" t="n">
        <v>54.2759</v>
      </c>
      <c r="I34" s="10" t="n">
        <v>57.4339</v>
      </c>
      <c r="J34" s="10" t="n">
        <v>3.158</v>
      </c>
      <c r="K34" s="11" t="n">
        <v>0.05818420330201803</v>
      </c>
      <c r="L34" s="12" t="n">
        <v>6483.69</v>
      </c>
      <c r="M34" s="12" t="n">
        <v>7381.69</v>
      </c>
      <c r="N34" s="12" t="n">
        <v>898</v>
      </c>
      <c r="O34" s="13" t="n">
        <v>0.1385013780732885</v>
      </c>
    </row>
    <row r="35">
      <c r="A35" s="5" t="n">
        <v>46285</v>
      </c>
      <c r="B35" s="6" t="n">
        <v>0.4690856481481481</v>
      </c>
      <c r="C35" s="46" t="inlineStr">
        <is>
          <t>Venüs</t>
        </is>
      </c>
      <c r="D35" s="8" t="n">
        <v>48.588</v>
      </c>
      <c r="E35" s="8" t="n">
        <v>48.726</v>
      </c>
      <c r="F35" s="8" t="n">
        <v>0.138</v>
      </c>
      <c r="G35" s="9" t="n">
        <v>0.002840207458631761</v>
      </c>
      <c r="H35" s="10" t="n">
        <v>55.701</v>
      </c>
      <c r="I35" s="10" t="n">
        <v>55.942</v>
      </c>
      <c r="J35" s="10" t="n">
        <v>0.241</v>
      </c>
      <c r="K35" s="11" t="n">
        <v>0.004326672770686343</v>
      </c>
      <c r="L35" s="12" t="n"/>
      <c r="M35" s="12" t="n"/>
      <c r="N35" s="12" t="n"/>
      <c r="O35" s="13" t="n"/>
    </row>
    <row r="36">
      <c r="A36" s="5" t="n">
        <v>46285</v>
      </c>
      <c r="B36" s="6" t="n">
        <v>0.4690856481481481</v>
      </c>
      <c r="C36" s="47" t="inlineStr">
        <is>
          <t>Yapıkredi</t>
        </is>
      </c>
      <c r="D36" s="8" t="n">
        <v>47.36</v>
      </c>
      <c r="E36" s="8" t="n">
        <v>49.94</v>
      </c>
      <c r="F36" s="8" t="n">
        <v>2.58</v>
      </c>
      <c r="G36" s="9" t="n">
        <v>0.05447635135135135</v>
      </c>
      <c r="H36" s="10" t="n">
        <v>54.53</v>
      </c>
      <c r="I36" s="10" t="n">
        <v>57.21</v>
      </c>
      <c r="J36" s="10" t="n">
        <v>2.68</v>
      </c>
      <c r="K36" s="11" t="n">
        <v>0.04914725838987713</v>
      </c>
      <c r="L36" s="12" t="n">
        <v>6625.4</v>
      </c>
      <c r="M36" s="12" t="n">
        <v>7142.2</v>
      </c>
      <c r="N36" s="12" t="n">
        <v>516.8</v>
      </c>
      <c r="O36" s="13" t="n">
        <v>0.0780028375645244</v>
      </c>
    </row>
    <row r="37">
      <c r="A37" s="5" t="n">
        <v>46285</v>
      </c>
      <c r="B37" s="6" t="n">
        <v>0.4690856481481481</v>
      </c>
      <c r="C37" s="48" t="inlineStr">
        <is>
          <t>Ziraat Bankası</t>
        </is>
      </c>
      <c r="D37" s="8" t="n">
        <v>47.3432</v>
      </c>
      <c r="E37" s="8" t="n">
        <v>50.2255</v>
      </c>
      <c r="F37" s="8" t="n">
        <v>2.8823</v>
      </c>
      <c r="G37" s="9" t="n">
        <v>0.06088097129049155</v>
      </c>
      <c r="H37" s="10" t="n">
        <v>54.269</v>
      </c>
      <c r="I37" s="10" t="n">
        <v>57.5729</v>
      </c>
      <c r="J37" s="10" t="n">
        <v>3.3039</v>
      </c>
      <c r="K37" s="11" t="n">
        <v>0.06088006043966168</v>
      </c>
      <c r="L37" s="12" t="n">
        <v>6567.29</v>
      </c>
      <c r="M37" s="12" t="n">
        <v>7517.5</v>
      </c>
      <c r="N37" s="12" t="n">
        <v>950.21</v>
      </c>
      <c r="O37" s="13" t="n">
        <v>0.1446882960856</v>
      </c>
    </row>
    <row r="38">
      <c r="A38" s="5" t="n">
        <v>46285</v>
      </c>
      <c r="B38" s="6" t="n">
        <v>0.4690856481481481</v>
      </c>
      <c r="C38" s="49" t="inlineStr">
        <is>
          <t>Ziraat Dinamik</t>
        </is>
      </c>
      <c r="D38" s="8" t="n">
        <v>47.3905</v>
      </c>
      <c r="E38" s="8" t="n">
        <v>49.9493</v>
      </c>
      <c r="F38" s="8" t="n">
        <v>2.5588</v>
      </c>
      <c r="G38" s="9" t="n">
        <v>0.05399394393391081</v>
      </c>
      <c r="H38" s="10" t="n">
        <v>54.269</v>
      </c>
      <c r="I38" s="10" t="n">
        <v>57.2562</v>
      </c>
      <c r="J38" s="10" t="n">
        <v>2.9872</v>
      </c>
      <c r="K38" s="11" t="n">
        <v>0.05504431627632719</v>
      </c>
      <c r="L38" s="12" t="n">
        <v>6534.45</v>
      </c>
      <c r="M38" s="12" t="n">
        <v>7479.91</v>
      </c>
      <c r="N38" s="12" t="n">
        <v>945.46</v>
      </c>
      <c r="O38" s="13" t="n">
        <v>0.1446885353778818</v>
      </c>
    </row>
    <row r="39">
      <c r="A39" s="5" t="n">
        <v>46285</v>
      </c>
      <c r="B39" s="6" t="n">
        <v>0.4690856481481481</v>
      </c>
      <c r="C39" s="50" t="inlineStr">
        <is>
          <t>Ziraat Katılım</t>
        </is>
      </c>
      <c r="D39" s="8" t="n">
        <v>43.4257</v>
      </c>
      <c r="E39" s="8" t="n">
        <v>54.1832</v>
      </c>
      <c r="F39" s="8" t="n">
        <v>10.7575</v>
      </c>
      <c r="G39" s="9" t="n">
        <v>0.2477219710908517</v>
      </c>
      <c r="H39" s="10" t="n">
        <v>49.7329</v>
      </c>
      <c r="I39" s="10" t="n">
        <v>62.1137</v>
      </c>
      <c r="J39" s="10" t="n">
        <v>12.3808</v>
      </c>
      <c r="K39" s="11" t="n">
        <v>0.2489458688312968</v>
      </c>
      <c r="L39" s="12" t="n">
        <v>6075.02</v>
      </c>
      <c r="M39" s="12" t="n">
        <v>7660.47</v>
      </c>
      <c r="N39" s="12" t="n">
        <v>1585.45</v>
      </c>
      <c r="O39" s="13" t="n">
        <v>0.2609785646796224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</hyperlinks>
  <pageMargins left="0.75" right="0.75" top="1" bottom="1" header="0.5" footer="0.5"/>
  <tableParts count="1">
    <tablePart xmlns:r="http://schemas.openxmlformats.org/officeDocument/2006/relationships" r:id="rId259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46285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0.4690856481481481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0.04206364229078596</v>
      </c>
      <c r="O5" s="67" t="inlineStr">
        <is>
          <t>Garanti BBVA</t>
        </is>
      </c>
      <c r="P5" s="73" t="n">
        <v>47.547</v>
      </c>
      <c r="Q5" s="73" t="n">
        <v>49.547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0.04205282244770871</v>
      </c>
      <c r="O6" s="67" t="inlineStr">
        <is>
          <t>Garanti BBVA</t>
        </is>
      </c>
      <c r="P6" s="73" t="n">
        <v>54.598</v>
      </c>
      <c r="Q6" s="73" t="n">
        <v>56.894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0.07060616705286756</v>
      </c>
      <c r="O7" s="67" t="inlineStr">
        <is>
          <t>Garanti BBVA</t>
        </is>
      </c>
      <c r="P7" s="73" t="n">
        <v>6632.99</v>
      </c>
      <c r="Q7" s="73" t="n">
        <v>7101.32</v>
      </c>
    </row>
    <row r="8">
      <c r="A8" s="63" t="inlineStr">
        <is>
          <t>Hatalı kayıt</t>
        </is>
      </c>
      <c r="B8" s="64" t="n"/>
      <c r="C8" s="74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0.03249921699353857</v>
      </c>
      <c r="I10" s="69" t="n">
        <v>0.03249962346170554</v>
      </c>
      <c r="J10" s="70" t="n">
        <v>0.04703243050315094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0.03701379045231567</v>
      </c>
      <c r="I11" s="69" t="n">
        <v>0.03713602601557841</v>
      </c>
      <c r="J11" s="70" t="n">
        <v>0.05058292032092558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0.03023894222286276</v>
      </c>
      <c r="I12" s="69" t="n">
        <v>0.02822180073305783</v>
      </c>
      <c r="J12" s="70" t="n">
        <v>0.04386377866900925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0.03242488670002234</v>
      </c>
      <c r="I13" s="69" t="n">
        <v>0.03242492250859851</v>
      </c>
      <c r="J13" s="70" t="n">
        <v>0.05754070174664053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0.03357125701461668</v>
      </c>
      <c r="I14" s="69" t="n">
        <v>0.03368675268444531</v>
      </c>
      <c r="J14" s="70" t="n">
        <v>0.0584965066191633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0.03249921699353857</v>
      </c>
      <c r="V3" s="55" t="n">
        <v>0.03701379045231567</v>
      </c>
      <c r="W3" s="55" t="n">
        <v>0.03023894222286276</v>
      </c>
      <c r="X3" s="55" t="n">
        <v>0.03242488670002234</v>
      </c>
      <c r="Y3" s="55" t="n">
        <v>0.03357125701461668</v>
      </c>
      <c r="Z3" s="55" t="n">
        <v>0.03249962346170554</v>
      </c>
      <c r="AA3" s="55" t="n">
        <v>0.03713602601557841</v>
      </c>
      <c r="AB3" s="55" t="n">
        <v>0.02822180073305783</v>
      </c>
      <c r="AC3" s="55" t="n">
        <v>0.03242492250859851</v>
      </c>
      <c r="AD3" s="55" t="n">
        <v>0.03368675268444531</v>
      </c>
      <c r="AE3" s="55" t="n">
        <v>0.04703243050315094</v>
      </c>
      <c r="AF3" s="55" t="n">
        <v>0.05058292032092558</v>
      </c>
      <c r="AG3" s="55" t="n">
        <v>0.04386377866900925</v>
      </c>
      <c r="AH3" s="55" t="n">
        <v>0.05754070174664053</v>
      </c>
      <c r="AI3" s="55" t="n">
        <v>0.0584965066191633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2026-09-20T08:16:09Z</dcterms:created>
  <dcterms:modified xsi:type="dcterms:W3CDTF">2026-09-20T08:16:09Z</dcterms:modified>
</cp:coreProperties>
</file>