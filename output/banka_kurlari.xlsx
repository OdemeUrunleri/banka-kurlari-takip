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'GRAFIK_VERILERI'!$B$2:$B$42</f>
              <numCache>
                <formatCode>0.00%</formatCode>
                <ptCount val="4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'GRAFIK_VERILERI'!$C$2:$C$42</f>
              <numCache>
                <formatCode>0.00%</formatCode>
                <ptCount val="4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'GRAFIK_VERILERI'!$D$2:$D$42</f>
              <numCache>
                <formatCode>0.00%</formatCode>
                <ptCount val="4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'GRAFIK_VERILERI'!$E$2:$E$42</f>
              <numCache>
                <formatCode>0.00%</formatCode>
                <ptCount val="4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'GRAFIK_VERILERI'!$F$2:$F$42</f>
              <numCache>
                <formatCode>0.00%</formatCode>
                <ptCount val="4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'GRAFIK_VERILERI'!$G$2:$G$42</f>
              <numCache>
                <formatCode>0.00%</formatCode>
                <ptCount val="4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'GRAFIK_VERILERI'!$H$2:$H$42</f>
              <numCache>
                <formatCode>0.00%</formatCode>
                <ptCount val="4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'GRAFIK_VERILERI'!$I$2:$I$42</f>
              <numCache>
                <formatCode>0.00%</formatCode>
                <ptCount val="4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'GRAFIK_VERILERI'!$J$2:$J$42</f>
              <numCache>
                <formatCode>0.00%</formatCode>
                <ptCount val="4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'GRAFIK_VERILERI'!$K$2:$K$42</f>
              <numCache>
                <formatCode>0.00%</formatCode>
                <ptCount val="4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'GRAFIK_VERILERI'!$L$2:$L$42</f>
              <numCache>
                <formatCode>0.00%</formatCode>
                <ptCount val="4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'GRAFIK_VERILERI'!$M$2:$M$42</f>
              <numCache>
                <formatCode>0.00%</formatCode>
                <ptCount val="4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'GRAFIK_VERILERI'!$N$2:$N$42</f>
              <numCache>
                <formatCode>0.00%</formatCode>
                <ptCount val="4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'GRAFIK_VERILERI'!$O$2:$O$42</f>
              <numCache>
                <formatCode>0.00%</formatCode>
                <ptCount val="4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'GRAFIK_VERILERI'!$P$2:$P$42</f>
              <numCache>
                <formatCode>0.00%</formatCode>
                <ptCount val="4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0.03190143829955785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0.03614215237403928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0.03056008596550099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0.03184441735343296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0.03327869053227363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0.03189966440735335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0.03623485662832248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0.02921957062680661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0.03184518452482475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0.03339048271012566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0.04485393212542239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0.04936077559643759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0.04590348655024925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0.05576227670586621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0.0576790130735085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'GRAFIK_VERILERI'!$B$2:$B$42</f>
              <numCache>
                <formatCode>0.00%</formatCode>
                <ptCount val="4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468900145164"/>
          <min val="0.0249955049073577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'GRAFIK_VERILERI'!$G$2:$G$42</f>
              <numCache>
                <formatCode>0.00%</formatCode>
                <ptCount val="4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7066777641053"/>
          <min val="0.024999085102352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'GRAFIK_VERILERI'!$L$2:$L$42</f>
              <numCache>
                <formatCode>0.00%</formatCode>
                <ptCount val="4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4838658426485"/>
          <min val="0.0230242756064393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'GRAFIK_VERILERI'!$C$2:$C$42</f>
              <numCache>
                <formatCode>0.00%</formatCode>
                <ptCount val="4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1604005601454"/>
          <min val="0.0219213099772347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'GRAFIK_VERILERI'!$H$2:$H$42</f>
              <numCache>
                <formatCode>0.00%</formatCode>
                <ptCount val="4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4331389705857"/>
          <min val="0.0218783874565221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'GRAFIK_VERILERI'!$M$2:$M$42</f>
              <numCache>
                <formatCode>0.00%</formatCode>
                <ptCount val="4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6670573024925"/>
          <min val="0.0255168050412686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'GRAFIK_VERILERI'!$D$2:$D$42</f>
              <numCache>
                <formatCode>0.00%</formatCode>
                <ptCount val="4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'GRAFIK_VERILERI'!$I$2:$I$42</f>
              <numCache>
                <formatCode>0.00%</formatCode>
                <ptCount val="4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'GRAFIK_VERILERI'!$N$2:$N$42</f>
              <numCache>
                <formatCode>0.00%</formatCode>
                <ptCount val="4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'GRAFIK_VERILERI'!$E$2:$E$42</f>
              <numCache>
                <formatCode>0.00%</formatCode>
                <ptCount val="4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'GRAFIK_VERILERI'!$J$2:$J$42</f>
              <numCache>
                <formatCode>0.00%</formatCode>
                <ptCount val="4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'GRAFIK_VERILERI'!$O$2:$O$42</f>
              <numCache>
                <formatCode>0.00%</formatCode>
                <ptCount val="4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'GRAFIK_VERILERI'!$F$2:$F$42</f>
              <numCache>
                <formatCode>0.00%</formatCode>
                <ptCount val="4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'GRAFIK_VERILERI'!$K$2:$K$42</f>
              <numCache>
                <formatCode>0.00%</formatCode>
                <ptCount val="4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'GRAFIK_VERILERI'!$A$2:$A$42</f>
              <strCache>
                <ptCount val="4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</strCache>
            </strRef>
          </cat>
          <val>
            <numRef>
              <f>'GRAFIK_VERILERI'!$P$2:$P$42</f>
              <numCache>
                <formatCode>0.00%</formatCode>
                <ptCount val="4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420" headerRowCount="1">
  <autoFilter ref="A1:N4420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table" Target="/xl/tables/table2.xml" Id="rId44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46302</v>
      </c>
      <c r="B2" s="6" t="n">
        <v>0.423125</v>
      </c>
      <c r="C2" s="7" t="inlineStr">
        <is>
          <t>Akbank</t>
        </is>
      </c>
      <c r="D2" s="8" t="n">
        <v>48.401</v>
      </c>
      <c r="E2" s="8" t="n">
        <v>49.751</v>
      </c>
      <c r="F2" s="8" t="n">
        <v>1.35</v>
      </c>
      <c r="G2" s="9" t="n">
        <v>0.02789198570277474</v>
      </c>
      <c r="H2" s="10" t="n">
        <v>54.3401</v>
      </c>
      <c r="I2" s="10" t="n">
        <v>55.8608</v>
      </c>
      <c r="J2" s="10" t="n">
        <v>1.5207</v>
      </c>
      <c r="K2" s="11" t="n">
        <v>0.02798485832745983</v>
      </c>
      <c r="L2" s="12" t="n">
        <v>6367.11</v>
      </c>
      <c r="M2" s="12" t="n">
        <v>6592.84</v>
      </c>
      <c r="N2" s="12" t="n">
        <v>225.73</v>
      </c>
      <c r="O2" s="13" t="n">
        <v>0.03545250513969446</v>
      </c>
    </row>
    <row r="3">
      <c r="A3" s="5" t="n">
        <v>46302</v>
      </c>
      <c r="B3" s="6" t="n">
        <v>0.423125</v>
      </c>
      <c r="C3" s="14" t="inlineStr">
        <is>
          <t>Albaraka Türk</t>
        </is>
      </c>
      <c r="D3" s="8" t="n">
        <v>48.827</v>
      </c>
      <c r="E3" s="8" t="n">
        <v>49.548</v>
      </c>
      <c r="F3" s="8" t="n">
        <v>0.721</v>
      </c>
      <c r="G3" s="9" t="n">
        <v>0.01476642021832183</v>
      </c>
      <c r="H3" s="10" t="n">
        <v>54.813</v>
      </c>
      <c r="I3" s="10" t="n">
        <v>55.643</v>
      </c>
      <c r="J3" s="10" t="n">
        <v>0.83</v>
      </c>
      <c r="K3" s="11" t="n">
        <v>0.0151423932278839</v>
      </c>
      <c r="L3" s="12" t="n">
        <v>6442.09</v>
      </c>
      <c r="M3" s="12" t="n">
        <v>6564.71</v>
      </c>
      <c r="N3" s="12" t="n">
        <v>122.62</v>
      </c>
      <c r="O3" s="13" t="n">
        <v>0.01903419542415583</v>
      </c>
    </row>
    <row r="4">
      <c r="A4" s="5" t="n">
        <v>46302</v>
      </c>
      <c r="B4" s="6" t="n">
        <v>0.423125</v>
      </c>
      <c r="C4" s="15" t="inlineStr">
        <is>
          <t>Alternatif Bank</t>
        </is>
      </c>
      <c r="D4" s="8" t="n">
        <v>48.985</v>
      </c>
      <c r="E4" s="8" t="n">
        <v>49.27</v>
      </c>
      <c r="F4" s="8" t="n">
        <v>0.285</v>
      </c>
      <c r="G4" s="9" t="n">
        <v>0.005818107583954272</v>
      </c>
      <c r="H4" s="10" t="n">
        <v>54.828</v>
      </c>
      <c r="I4" s="10" t="n">
        <v>55.32</v>
      </c>
      <c r="J4" s="10" t="n">
        <v>0.492</v>
      </c>
      <c r="K4" s="11" t="n">
        <v>0.008973517181002408</v>
      </c>
      <c r="L4" s="12" t="n">
        <v>6498.89</v>
      </c>
      <c r="M4" s="12" t="n">
        <v>6562.73</v>
      </c>
      <c r="N4" s="12" t="n">
        <v>63.84</v>
      </c>
      <c r="O4" s="13" t="n">
        <v>0.009823215964572411</v>
      </c>
    </row>
    <row r="5">
      <c r="A5" s="5" t="n">
        <v>46302</v>
      </c>
      <c r="B5" s="6" t="n">
        <v>0.423125</v>
      </c>
      <c r="C5" s="16" t="inlineStr">
        <is>
          <t>Altınkaynak</t>
        </is>
      </c>
      <c r="D5" s="8" t="n">
        <v>49.052</v>
      </c>
      <c r="E5" s="8" t="n">
        <v>49.222</v>
      </c>
      <c r="F5" s="8" t="n">
        <v>0.17</v>
      </c>
      <c r="G5" s="9" t="n">
        <v>0.003465709858925222</v>
      </c>
      <c r="H5" s="10" t="n">
        <v>54.952</v>
      </c>
      <c r="I5" s="10" t="n">
        <v>55.252</v>
      </c>
      <c r="J5" s="10" t="n">
        <v>0.3</v>
      </c>
      <c r="K5" s="11" t="n">
        <v>0.005459309943223177</v>
      </c>
      <c r="L5" s="12" t="n">
        <v>6489</v>
      </c>
      <c r="M5" s="12" t="n">
        <v>6635</v>
      </c>
      <c r="N5" s="12" t="n">
        <v>146</v>
      </c>
      <c r="O5" s="13" t="n">
        <v>0.02249961473262444</v>
      </c>
    </row>
    <row r="6">
      <c r="A6" s="5" t="n">
        <v>46302</v>
      </c>
      <c r="B6" s="6" t="n">
        <v>0.423125</v>
      </c>
      <c r="C6" s="17" t="inlineStr">
        <is>
          <t>Anadolubank</t>
        </is>
      </c>
      <c r="D6" s="8" t="n">
        <v>48.3528</v>
      </c>
      <c r="E6" s="8" t="n">
        <v>49.6289</v>
      </c>
      <c r="F6" s="8" t="n">
        <v>1.2761</v>
      </c>
      <c r="G6" s="9" t="n">
        <v>0.02639143958571168</v>
      </c>
      <c r="H6" s="10" t="n">
        <v>54.3523</v>
      </c>
      <c r="I6" s="10" t="n">
        <v>55.7178</v>
      </c>
      <c r="J6" s="10" t="n">
        <v>1.3655</v>
      </c>
      <c r="K6" s="11" t="n">
        <v>0.02512313186378497</v>
      </c>
      <c r="L6" s="12" t="n">
        <v>6423.11</v>
      </c>
      <c r="M6" s="12" t="n">
        <v>6574.02</v>
      </c>
      <c r="N6" s="12" t="n">
        <v>150.91</v>
      </c>
      <c r="O6" s="13" t="n">
        <v>0.02349484906844192</v>
      </c>
    </row>
    <row r="7">
      <c r="A7" s="5" t="n">
        <v>46302</v>
      </c>
      <c r="B7" s="6" t="n">
        <v>0.423125</v>
      </c>
      <c r="C7" s="18" t="inlineStr">
        <is>
          <t>CEPTETEB</t>
        </is>
      </c>
      <c r="D7" s="8" t="n">
        <v>48.183</v>
      </c>
      <c r="E7" s="8" t="n">
        <v>50.141</v>
      </c>
      <c r="F7" s="8" t="n">
        <v>1.958</v>
      </c>
      <c r="G7" s="9" t="n">
        <v>0.04063673909885229</v>
      </c>
      <c r="H7" s="10" t="n">
        <v>54.086</v>
      </c>
      <c r="I7" s="10" t="n">
        <v>56.304</v>
      </c>
      <c r="J7" s="10" t="n">
        <v>2.218</v>
      </c>
      <c r="K7" s="11" t="n">
        <v>0.04100876382058203</v>
      </c>
      <c r="L7" s="12" t="n">
        <v>6416.66</v>
      </c>
      <c r="M7" s="12" t="n">
        <v>6614.27</v>
      </c>
      <c r="N7" s="12" t="n">
        <v>197.61</v>
      </c>
      <c r="O7" s="13" t="n">
        <v>0.03079639563261884</v>
      </c>
    </row>
    <row r="8">
      <c r="A8" s="5" t="n">
        <v>46302</v>
      </c>
      <c r="B8" s="6" t="n">
        <v>0.423125</v>
      </c>
      <c r="C8" s="19" t="inlineStr">
        <is>
          <t>Denizbank</t>
        </is>
      </c>
      <c r="D8" s="8" t="n">
        <v>48.4543</v>
      </c>
      <c r="E8" s="8" t="n">
        <v>49.8544</v>
      </c>
      <c r="F8" s="8" t="n">
        <v>1.4001</v>
      </c>
      <c r="G8" s="9" t="n">
        <v>0.02889526832499902</v>
      </c>
      <c r="H8" s="10" t="n">
        <v>54.3943</v>
      </c>
      <c r="I8" s="10" t="n">
        <v>55.966</v>
      </c>
      <c r="J8" s="10" t="n">
        <v>1.5717</v>
      </c>
      <c r="K8" s="11" t="n">
        <v>0.02889457167387024</v>
      </c>
      <c r="L8" s="12" t="n">
        <v>6440.15</v>
      </c>
      <c r="M8" s="12" t="n">
        <v>6627.2</v>
      </c>
      <c r="N8" s="12" t="n">
        <v>187.05</v>
      </c>
      <c r="O8" s="13" t="n">
        <v>0.02904435455695907</v>
      </c>
    </row>
    <row r="9">
      <c r="A9" s="5" t="n">
        <v>46302</v>
      </c>
      <c r="B9" s="6" t="n">
        <v>0.423125</v>
      </c>
      <c r="C9" s="20" t="inlineStr">
        <is>
          <t>DestekBank</t>
        </is>
      </c>
      <c r="D9" s="8" t="n">
        <v>49.0863</v>
      </c>
      <c r="E9" s="8" t="n">
        <v>49.219</v>
      </c>
      <c r="F9" s="8" t="n">
        <v>0.1327</v>
      </c>
      <c r="G9" s="9" t="n">
        <v>0.002703401967555102</v>
      </c>
      <c r="H9" s="10" t="n">
        <v>55.0796</v>
      </c>
      <c r="I9" s="10" t="n">
        <v>55.2582</v>
      </c>
      <c r="J9" s="10" t="n">
        <v>0.1786</v>
      </c>
      <c r="K9" s="11" t="n">
        <v>0.003242579829918881</v>
      </c>
      <c r="L9" s="12" t="n">
        <v>6433.97</v>
      </c>
      <c r="M9" s="12" t="n">
        <v>6565.47</v>
      </c>
      <c r="N9" s="12" t="n">
        <v>131.5</v>
      </c>
      <c r="O9" s="13" t="n">
        <v>0.02043839184826787</v>
      </c>
    </row>
    <row r="10">
      <c r="A10" s="5" t="n">
        <v>46302</v>
      </c>
      <c r="B10" s="6" t="n">
        <v>0.423125</v>
      </c>
      <c r="C10" s="21" t="inlineStr">
        <is>
          <t>Dünya Katılım</t>
        </is>
      </c>
      <c r="D10" s="8" t="n">
        <v>49.108</v>
      </c>
      <c r="E10" s="8" t="n">
        <v>49.1992</v>
      </c>
      <c r="F10" s="8" t="n">
        <v>0.0912</v>
      </c>
      <c r="G10" s="9" t="n">
        <v>0.001857131220982325</v>
      </c>
      <c r="H10" s="10" t="n">
        <v>55.0586</v>
      </c>
      <c r="I10" s="10" t="n">
        <v>55.2592</v>
      </c>
      <c r="J10" s="10" t="n">
        <v>0.2006</v>
      </c>
      <c r="K10" s="11" t="n">
        <v>0.003643390859920157</v>
      </c>
      <c r="L10" s="12" t="n">
        <v>6483.54</v>
      </c>
      <c r="M10" s="12" t="n">
        <v>6517.48</v>
      </c>
      <c r="N10" s="12" t="n">
        <v>33.94</v>
      </c>
      <c r="O10" s="13" t="n">
        <v>0.005234794572101044</v>
      </c>
    </row>
    <row r="11">
      <c r="A11" s="5" t="n">
        <v>46302</v>
      </c>
      <c r="B11" s="6" t="n">
        <v>0.423125</v>
      </c>
      <c r="C11" s="22" t="inlineStr">
        <is>
          <t>Emlak Katılım</t>
        </is>
      </c>
      <c r="D11" s="8" t="n">
        <v>48.8189</v>
      </c>
      <c r="E11" s="8" t="n">
        <v>50.0788</v>
      </c>
      <c r="F11" s="8" t="n">
        <v>1.2599</v>
      </c>
      <c r="G11" s="9" t="n">
        <v>0.02580762778350188</v>
      </c>
      <c r="H11" s="10" t="n">
        <v>54.7071</v>
      </c>
      <c r="I11" s="10" t="n">
        <v>55.9711</v>
      </c>
      <c r="J11" s="10" t="n">
        <v>1.264</v>
      </c>
      <c r="K11" s="11" t="n">
        <v>0.02310486207457533</v>
      </c>
      <c r="L11" s="12" t="n">
        <v>6466.94</v>
      </c>
      <c r="M11" s="12" t="n">
        <v>6531.48</v>
      </c>
      <c r="N11" s="12" t="n">
        <v>64.54000000000001</v>
      </c>
      <c r="O11" s="13" t="n">
        <v>0.009979990536482478</v>
      </c>
    </row>
    <row r="12">
      <c r="A12" s="5" t="n">
        <v>46302</v>
      </c>
      <c r="B12" s="6" t="n">
        <v>0.423125</v>
      </c>
      <c r="C12" s="23" t="inlineStr">
        <is>
          <t>Enpara</t>
        </is>
      </c>
      <c r="D12" s="8" t="n">
        <v>48.6475</v>
      </c>
      <c r="E12" s="8" t="n">
        <v>49.4475</v>
      </c>
      <c r="F12" s="8" t="n">
        <v>0.8</v>
      </c>
      <c r="G12" s="9" t="n">
        <v>0.01644483272521712</v>
      </c>
      <c r="H12" s="10" t="n">
        <v>54.5522</v>
      </c>
      <c r="I12" s="10" t="n">
        <v>55.5702</v>
      </c>
      <c r="J12" s="10" t="n">
        <v>1.018</v>
      </c>
      <c r="K12" s="11" t="n">
        <v>0.01866102558650247</v>
      </c>
      <c r="L12" s="12" t="n">
        <v>6427.27</v>
      </c>
      <c r="M12" s="12" t="n">
        <v>6555.42</v>
      </c>
      <c r="N12" s="12" t="n">
        <v>128.15</v>
      </c>
      <c r="O12" s="13" t="n">
        <v>0.01993848087912909</v>
      </c>
    </row>
    <row r="13">
      <c r="A13" s="5" t="n">
        <v>46302</v>
      </c>
      <c r="B13" s="6" t="n">
        <v>0.423125</v>
      </c>
      <c r="C13" s="24" t="inlineStr">
        <is>
          <t>Fibabanka</t>
        </is>
      </c>
      <c r="D13" s="8" t="n">
        <v>48.8977</v>
      </c>
      <c r="E13" s="8" t="n">
        <v>49.5051</v>
      </c>
      <c r="F13" s="8" t="n">
        <v>0.6074000000000001</v>
      </c>
      <c r="G13" s="9" t="n">
        <v>0.01242185215255523</v>
      </c>
      <c r="H13" s="10" t="n">
        <v>54.8939</v>
      </c>
      <c r="I13" s="10" t="n">
        <v>55.5551</v>
      </c>
      <c r="J13" s="10" t="n">
        <v>0.6612</v>
      </c>
      <c r="K13" s="11" t="n">
        <v>0.01204505418634857</v>
      </c>
      <c r="L13" s="12" t="n">
        <v>6503.74</v>
      </c>
      <c r="M13" s="12" t="n">
        <v>6557.93</v>
      </c>
      <c r="N13" s="12" t="n">
        <v>54.19</v>
      </c>
      <c r="O13" s="13" t="n">
        <v>0.008332128898141684</v>
      </c>
    </row>
    <row r="14">
      <c r="A14" s="5" t="n">
        <v>46302</v>
      </c>
      <c r="B14" s="6" t="n">
        <v>0.423125</v>
      </c>
      <c r="C14" s="25" t="inlineStr">
        <is>
          <t>Garanti BBVA</t>
        </is>
      </c>
      <c r="D14" s="8" t="n">
        <v>48.353</v>
      </c>
      <c r="E14" s="8" t="n">
        <v>49.703</v>
      </c>
      <c r="F14" s="8" t="n">
        <v>1.35</v>
      </c>
      <c r="G14" s="9" t="n">
        <v>0.02791967406365686</v>
      </c>
      <c r="H14" s="10" t="n">
        <v>54.291</v>
      </c>
      <c r="I14" s="10" t="n">
        <v>55.807</v>
      </c>
      <c r="J14" s="10" t="n">
        <v>1.516</v>
      </c>
      <c r="K14" s="11" t="n">
        <v>0.02792359691293216</v>
      </c>
      <c r="L14" s="12" t="n">
        <v>6435.14</v>
      </c>
      <c r="M14" s="12" t="n">
        <v>6634.44</v>
      </c>
      <c r="N14" s="12" t="n">
        <v>199.3</v>
      </c>
      <c r="O14" s="13" t="n">
        <v>0.03097057717470016</v>
      </c>
    </row>
    <row r="15">
      <c r="A15" s="5" t="n">
        <v>46302</v>
      </c>
      <c r="B15" s="6" t="n">
        <v>0.423125</v>
      </c>
      <c r="C15" s="26" t="inlineStr">
        <is>
          <t>Getirfinans</t>
        </is>
      </c>
      <c r="D15" s="8" t="n">
        <v>48.8978</v>
      </c>
      <c r="E15" s="8" t="n">
        <v>49.5048</v>
      </c>
      <c r="F15" s="8" t="n">
        <v>0.607</v>
      </c>
      <c r="G15" s="9" t="n">
        <v>0.01241364642172041</v>
      </c>
      <c r="H15" s="10" t="n">
        <v>54.9003</v>
      </c>
      <c r="I15" s="10" t="n">
        <v>55.5616</v>
      </c>
      <c r="J15" s="10" t="n">
        <v>0.6613</v>
      </c>
      <c r="K15" s="11" t="n">
        <v>0.01204547151837057</v>
      </c>
      <c r="L15" s="12" t="n">
        <v>6506.67</v>
      </c>
      <c r="M15" s="12" t="n">
        <v>6560.85</v>
      </c>
      <c r="N15" s="12" t="n">
        <v>54.18</v>
      </c>
      <c r="O15" s="13" t="n">
        <v>0.008326839996495904</v>
      </c>
    </row>
    <row r="16">
      <c r="A16" s="5" t="n">
        <v>46302</v>
      </c>
      <c r="B16" s="6" t="n">
        <v>0.423125</v>
      </c>
      <c r="C16" s="27" t="inlineStr">
        <is>
          <t>Halkbank</t>
        </is>
      </c>
      <c r="D16" s="8" t="n">
        <v>48.7672</v>
      </c>
      <c r="E16" s="8" t="n">
        <v>49.7472</v>
      </c>
      <c r="F16" s="8" t="n">
        <v>0.98</v>
      </c>
      <c r="G16" s="9" t="n">
        <v>0.02009547400711954</v>
      </c>
      <c r="H16" s="10" t="n">
        <v>54.7534</v>
      </c>
      <c r="I16" s="10" t="n">
        <v>55.8537</v>
      </c>
      <c r="J16" s="10" t="n">
        <v>1.1003</v>
      </c>
      <c r="K16" s="11" t="n">
        <v>0.0200955557097824</v>
      </c>
      <c r="L16" s="12" t="n">
        <v>6439</v>
      </c>
      <c r="M16" s="12" t="n">
        <v>6634.81</v>
      </c>
      <c r="N16" s="12" t="n">
        <v>195.81</v>
      </c>
      <c r="O16" s="13" t="n">
        <v>0.03041000155303619</v>
      </c>
    </row>
    <row r="17">
      <c r="A17" s="5" t="n">
        <v>46302</v>
      </c>
      <c r="B17" s="6" t="n">
        <v>0.423125</v>
      </c>
      <c r="C17" s="28" t="inlineStr">
        <is>
          <t>Harem</t>
        </is>
      </c>
      <c r="D17" s="8" t="n">
        <v>49.147</v>
      </c>
      <c r="E17" s="8" t="n">
        <v>49.214</v>
      </c>
      <c r="F17" s="8" t="n">
        <v>0.067</v>
      </c>
      <c r="G17" s="9" t="n">
        <v>0.001363257167273689</v>
      </c>
      <c r="H17" s="10" t="n">
        <v>55.046</v>
      </c>
      <c r="I17" s="10" t="n">
        <v>55.198</v>
      </c>
      <c r="J17" s="10" t="n">
        <v>0.152</v>
      </c>
      <c r="K17" s="11" t="n">
        <v>0.002761326890237256</v>
      </c>
      <c r="L17" s="12" t="n">
        <v>6513.93</v>
      </c>
      <c r="M17" s="12" t="n">
        <v>6587.66</v>
      </c>
      <c r="N17" s="12" t="n">
        <v>73.73</v>
      </c>
      <c r="O17" s="13" t="n">
        <v>0.01131881982152096</v>
      </c>
    </row>
    <row r="18">
      <c r="A18" s="5" t="n">
        <v>46302</v>
      </c>
      <c r="B18" s="6" t="n">
        <v>0.423125</v>
      </c>
      <c r="C18" s="29" t="inlineStr">
        <is>
          <t>Hayat Finans</t>
        </is>
      </c>
      <c r="D18" s="8" t="n">
        <v>49.1169</v>
      </c>
      <c r="E18" s="8" t="n">
        <v>49.2659</v>
      </c>
      <c r="F18" s="8" t="n">
        <v>0.149</v>
      </c>
      <c r="G18" s="9" t="n">
        <v>0.003033579073597886</v>
      </c>
      <c r="H18" s="10" t="n">
        <v>55.1206</v>
      </c>
      <c r="I18" s="10" t="n">
        <v>55.2898</v>
      </c>
      <c r="J18" s="10" t="n">
        <v>0.1692</v>
      </c>
      <c r="K18" s="11" t="n">
        <v>0.003069632768874069</v>
      </c>
      <c r="L18" s="12" t="n">
        <v>6496.01</v>
      </c>
      <c r="M18" s="12" t="n">
        <v>6541.91</v>
      </c>
      <c r="N18" s="12" t="n">
        <v>45.9</v>
      </c>
      <c r="O18" s="13" t="n">
        <v>0.007065875822235496</v>
      </c>
    </row>
    <row r="19">
      <c r="A19" s="5" t="n">
        <v>46302</v>
      </c>
      <c r="B19" s="6" t="n">
        <v>0.423125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6434.86</v>
      </c>
      <c r="M19" s="12" t="n">
        <v>6624.26</v>
      </c>
      <c r="N19" s="12" t="n">
        <v>189.4</v>
      </c>
      <c r="O19" s="13" t="n">
        <v>0.02943342978712823</v>
      </c>
    </row>
    <row r="20">
      <c r="A20" s="5" t="n">
        <v>46302</v>
      </c>
      <c r="B20" s="6" t="n">
        <v>0.423125</v>
      </c>
      <c r="C20" s="31" t="inlineStr">
        <is>
          <t>HSBC</t>
        </is>
      </c>
      <c r="D20" s="8" t="n">
        <v>48.6932</v>
      </c>
      <c r="E20" s="8" t="n">
        <v>49.58</v>
      </c>
      <c r="F20" s="8" t="n">
        <v>0.8868</v>
      </c>
      <c r="G20" s="9" t="n">
        <v>0.01821198853227966</v>
      </c>
      <c r="H20" s="10" t="n">
        <v>54.6514</v>
      </c>
      <c r="I20" s="10" t="n">
        <v>55.7264</v>
      </c>
      <c r="J20" s="10" t="n">
        <v>1.075</v>
      </c>
      <c r="K20" s="11" t="n">
        <v>0.01967012738923431</v>
      </c>
      <c r="L20" s="12" t="n">
        <v>6439.26</v>
      </c>
      <c r="M20" s="12" t="n">
        <v>6884.65</v>
      </c>
      <c r="N20" s="12" t="n">
        <v>445.39</v>
      </c>
      <c r="O20" s="13" t="n">
        <v>0.06916788575084715</v>
      </c>
    </row>
    <row r="21">
      <c r="A21" s="5" t="n">
        <v>46302</v>
      </c>
      <c r="B21" s="6" t="n">
        <v>0.423125</v>
      </c>
      <c r="C21" s="32" t="inlineStr">
        <is>
          <t>ING Bank</t>
        </is>
      </c>
      <c r="D21" s="8" t="n">
        <v>48.6514</v>
      </c>
      <c r="E21" s="8" t="n">
        <v>49.6554</v>
      </c>
      <c r="F21" s="8" t="n">
        <v>1.004</v>
      </c>
      <c r="G21" s="9" t="n">
        <v>0.02063661066279696</v>
      </c>
      <c r="H21" s="10" t="n">
        <v>54.6826</v>
      </c>
      <c r="I21" s="10" t="n">
        <v>55.6914</v>
      </c>
      <c r="J21" s="10" t="n">
        <v>1.0088</v>
      </c>
      <c r="K21" s="11" t="n">
        <v>0.01844828153745433</v>
      </c>
      <c r="L21" s="12" t="n">
        <v>6378.41</v>
      </c>
      <c r="M21" s="12" t="n">
        <v>6680.38</v>
      </c>
      <c r="N21" s="12" t="n">
        <v>301.97</v>
      </c>
      <c r="O21" s="13" t="n">
        <v>0.04734251953072945</v>
      </c>
    </row>
    <row r="22">
      <c r="A22" s="5" t="n">
        <v>46302</v>
      </c>
      <c r="B22" s="6" t="n">
        <v>0.423125</v>
      </c>
      <c r="C22" s="33" t="inlineStr">
        <is>
          <t>İş Bankası</t>
        </is>
      </c>
      <c r="D22" s="8" t="n">
        <v>48.5683</v>
      </c>
      <c r="E22" s="8" t="n">
        <v>49.7442</v>
      </c>
      <c r="F22" s="8" t="n">
        <v>1.1759</v>
      </c>
      <c r="G22" s="9" t="n">
        <v>0.02421126537268136</v>
      </c>
      <c r="H22" s="10" t="n">
        <v>54.5129</v>
      </c>
      <c r="I22" s="10" t="n">
        <v>55.8377</v>
      </c>
      <c r="J22" s="10" t="n">
        <v>1.3248</v>
      </c>
      <c r="K22" s="11" t="n">
        <v>0.02430250454479582</v>
      </c>
      <c r="L22" s="12" t="n">
        <v>6430.81</v>
      </c>
      <c r="M22" s="12" t="n">
        <v>6607.69</v>
      </c>
      <c r="N22" s="12" t="n">
        <v>176.88</v>
      </c>
      <c r="O22" s="13" t="n">
        <v>0.02750508878352804</v>
      </c>
    </row>
    <row r="23">
      <c r="A23" s="5" t="n">
        <v>46302</v>
      </c>
      <c r="B23" s="6" t="n">
        <v>0.423125</v>
      </c>
      <c r="C23" s="34" t="inlineStr">
        <is>
          <t>Kapalıçarşı</t>
        </is>
      </c>
      <c r="D23" s="8" t="n">
        <v>49.18</v>
      </c>
      <c r="E23" s="8" t="n">
        <v>49.19</v>
      </c>
      <c r="F23" s="8" t="n">
        <v>0.01</v>
      </c>
      <c r="G23" s="9" t="n">
        <v>0.000203334688897926</v>
      </c>
      <c r="H23" s="10" t="n">
        <v>55.15</v>
      </c>
      <c r="I23" s="10" t="n">
        <v>55.2</v>
      </c>
      <c r="J23" s="10" t="n">
        <v>0.05</v>
      </c>
      <c r="K23" s="11" t="n">
        <v>0.0009066183136899365</v>
      </c>
      <c r="L23" s="12" t="n">
        <v>6586.17</v>
      </c>
      <c r="M23" s="12" t="n">
        <v>6592.45</v>
      </c>
      <c r="N23" s="12" t="n">
        <v>6.28</v>
      </c>
      <c r="O23" s="13" t="n">
        <v>0.00095351319507392</v>
      </c>
    </row>
    <row r="24">
      <c r="A24" s="5" t="n">
        <v>46302</v>
      </c>
      <c r="B24" s="6" t="n">
        <v>0.423125</v>
      </c>
      <c r="C24" s="35" t="inlineStr">
        <is>
          <t>Kuveyt Türk</t>
        </is>
      </c>
      <c r="D24" s="8" t="n">
        <v>48.5876</v>
      </c>
      <c r="E24" s="8" t="n">
        <v>49.5718</v>
      </c>
      <c r="F24" s="8" t="n">
        <v>0.9842</v>
      </c>
      <c r="G24" s="9" t="n">
        <v>0.02025619705439248</v>
      </c>
      <c r="H24" s="10" t="n">
        <v>54.4569</v>
      </c>
      <c r="I24" s="10" t="n">
        <v>55.5666</v>
      </c>
      <c r="J24" s="10" t="n">
        <v>1.1097</v>
      </c>
      <c r="K24" s="11" t="n">
        <v>0.02037758300601026</v>
      </c>
      <c r="L24" s="12" t="n">
        <v>6442.16</v>
      </c>
      <c r="M24" s="12" t="n">
        <v>6611.64</v>
      </c>
      <c r="N24" s="12" t="n">
        <v>169.48</v>
      </c>
      <c r="O24" s="13" t="n">
        <v>0.02630794640306978</v>
      </c>
    </row>
    <row r="25">
      <c r="A25" s="5" t="n">
        <v>46302</v>
      </c>
      <c r="B25" s="6" t="n">
        <v>0.423125</v>
      </c>
      <c r="C25" s="36" t="inlineStr">
        <is>
          <t>Merkez Bankası</t>
        </is>
      </c>
      <c r="D25" s="8" t="n">
        <v>49.0918</v>
      </c>
      <c r="E25" s="8" t="n">
        <v>49.1802</v>
      </c>
      <c r="F25" s="8" t="n">
        <v>0.08840000000000001</v>
      </c>
      <c r="G25" s="9" t="n">
        <v>0.001800708061224074</v>
      </c>
      <c r="H25" s="10" t="n">
        <v>55.1853</v>
      </c>
      <c r="I25" s="10" t="n">
        <v>55.2847</v>
      </c>
      <c r="J25" s="10" t="n">
        <v>0.0994</v>
      </c>
      <c r="K25" s="11" t="n">
        <v>0.001801204306219229</v>
      </c>
      <c r="L25" s="12" t="n"/>
      <c r="M25" s="12" t="n"/>
      <c r="N25" s="12" t="n"/>
      <c r="O25" s="13" t="n"/>
    </row>
    <row r="26">
      <c r="A26" s="5" t="n">
        <v>46302</v>
      </c>
      <c r="B26" s="6" t="n">
        <v>0.423125</v>
      </c>
      <c r="C26" s="37" t="inlineStr">
        <is>
          <t>Misyon Bank</t>
        </is>
      </c>
      <c r="D26" s="8" t="n">
        <v>49.106</v>
      </c>
      <c r="E26" s="8" t="n">
        <v>49.1958</v>
      </c>
      <c r="F26" s="8" t="n">
        <v>0.0898</v>
      </c>
      <c r="G26" s="9" t="n">
        <v>0.001828697104223517</v>
      </c>
      <c r="H26" s="10" t="n">
        <v>55.0924</v>
      </c>
      <c r="I26" s="10" t="n">
        <v>55.2354</v>
      </c>
      <c r="J26" s="10" t="n">
        <v>0.143</v>
      </c>
      <c r="K26" s="11" t="n">
        <v>0.002595639325932433</v>
      </c>
      <c r="L26" s="12" t="n">
        <v>6483.01</v>
      </c>
      <c r="M26" s="12" t="n">
        <v>6516.21</v>
      </c>
      <c r="N26" s="12" t="n">
        <v>33.2</v>
      </c>
      <c r="O26" s="13" t="n">
        <v>0.005121078017772609</v>
      </c>
    </row>
    <row r="27">
      <c r="A27" s="5" t="n">
        <v>46302</v>
      </c>
      <c r="B27" s="6" t="n">
        <v>0.423125</v>
      </c>
      <c r="C27" s="38" t="inlineStr">
        <is>
          <t>Odacı</t>
        </is>
      </c>
      <c r="D27" s="8" t="n">
        <v>49.156</v>
      </c>
      <c r="E27" s="8" t="n">
        <v>49.272</v>
      </c>
      <c r="F27" s="8" t="n">
        <v>0.116</v>
      </c>
      <c r="G27" s="9" t="n">
        <v>0.002359833997884286</v>
      </c>
      <c r="H27" s="10" t="n">
        <v>55.052</v>
      </c>
      <c r="I27" s="10" t="n">
        <v>55.215</v>
      </c>
      <c r="J27" s="10" t="n">
        <v>0.163</v>
      </c>
      <c r="K27" s="11" t="n">
        <v>0.002960837026811015</v>
      </c>
      <c r="L27" s="12" t="n">
        <v>6539</v>
      </c>
      <c r="M27" s="12" t="n">
        <v>6579</v>
      </c>
      <c r="N27" s="12" t="n">
        <v>40</v>
      </c>
      <c r="O27" s="13" t="n">
        <v>0.006117143294081664</v>
      </c>
    </row>
    <row r="28">
      <c r="A28" s="5" t="n">
        <v>46302</v>
      </c>
      <c r="B28" s="6" t="n">
        <v>0.423125</v>
      </c>
      <c r="C28" s="39" t="inlineStr">
        <is>
          <t>Odeabank</t>
        </is>
      </c>
      <c r="D28" s="8" t="n">
        <v>48.6645</v>
      </c>
      <c r="E28" s="8" t="n">
        <v>49.6645</v>
      </c>
      <c r="F28" s="8" t="n">
        <v>1</v>
      </c>
      <c r="G28" s="9" t="n">
        <v>0.02054886005198862</v>
      </c>
      <c r="H28" s="10" t="n">
        <v>54.642</v>
      </c>
      <c r="I28" s="10" t="n">
        <v>55.732</v>
      </c>
      <c r="J28" s="10" t="n">
        <v>1.09</v>
      </c>
      <c r="K28" s="11" t="n">
        <v>0.01994802532850189</v>
      </c>
      <c r="L28" s="12" t="n">
        <v>6483.38</v>
      </c>
      <c r="M28" s="12" t="n">
        <v>6583.38</v>
      </c>
      <c r="N28" s="12" t="n">
        <v>100</v>
      </c>
      <c r="O28" s="13" t="n">
        <v>0.01542405350295679</v>
      </c>
    </row>
    <row r="29">
      <c r="A29" s="5" t="n">
        <v>46302</v>
      </c>
      <c r="B29" s="6" t="n">
        <v>0.423125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6435.24</v>
      </c>
      <c r="M29" s="12" t="n">
        <v>6611.43</v>
      </c>
      <c r="N29" s="12" t="n">
        <v>176.19</v>
      </c>
      <c r="O29" s="13" t="n">
        <v>0.0273789322542749</v>
      </c>
    </row>
    <row r="30">
      <c r="A30" s="5" t="n">
        <v>46302</v>
      </c>
      <c r="B30" s="6" t="n">
        <v>0.423125</v>
      </c>
      <c r="C30" s="41" t="inlineStr">
        <is>
          <t>QNB Finansbank</t>
        </is>
      </c>
      <c r="D30" s="8" t="n">
        <v>48.4375</v>
      </c>
      <c r="E30" s="8" t="n">
        <v>49.9575</v>
      </c>
      <c r="F30" s="8" t="n">
        <v>1.52</v>
      </c>
      <c r="G30" s="9" t="n">
        <v>0.03138064516129033</v>
      </c>
      <c r="H30" s="10" t="n">
        <v>54.2521</v>
      </c>
      <c r="I30" s="10" t="n">
        <v>56.2</v>
      </c>
      <c r="J30" s="10" t="n">
        <v>1.9479</v>
      </c>
      <c r="K30" s="11" t="n">
        <v>0.03590460092789035</v>
      </c>
      <c r="L30" s="12" t="n">
        <v>6392.72</v>
      </c>
      <c r="M30" s="12" t="n">
        <v>6622.38</v>
      </c>
      <c r="N30" s="12" t="n">
        <v>229.66</v>
      </c>
      <c r="O30" s="13" t="n">
        <v>0.03592523996045502</v>
      </c>
    </row>
    <row r="31">
      <c r="A31" s="5" t="n">
        <v>46302</v>
      </c>
      <c r="B31" s="6" t="n">
        <v>0.423125</v>
      </c>
      <c r="C31" s="42" t="inlineStr">
        <is>
          <t>TOM Bank Hadi</t>
        </is>
      </c>
      <c r="D31" s="8" t="n">
        <v>49.074</v>
      </c>
      <c r="E31" s="8" t="n">
        <v>49.2953</v>
      </c>
      <c r="F31" s="8" t="n">
        <v>0.2213</v>
      </c>
      <c r="G31" s="9" t="n">
        <v>0.004509516240779231</v>
      </c>
      <c r="H31" s="10" t="n">
        <v>55.0034</v>
      </c>
      <c r="I31" s="10" t="n">
        <v>55.3348</v>
      </c>
      <c r="J31" s="10" t="n">
        <v>0.3314</v>
      </c>
      <c r="K31" s="11" t="n">
        <v>0.006025082085834695</v>
      </c>
      <c r="L31" s="12" t="n">
        <v>6465.31</v>
      </c>
      <c r="M31" s="12" t="n">
        <v>6543.36</v>
      </c>
      <c r="N31" s="12" t="n">
        <v>78.05</v>
      </c>
      <c r="O31" s="13" t="n">
        <v>0.01207212028502887</v>
      </c>
    </row>
    <row r="32">
      <c r="A32" s="5" t="n">
        <v>46302</v>
      </c>
      <c r="B32" s="6" t="n">
        <v>0.423125</v>
      </c>
      <c r="C32" s="43" t="inlineStr">
        <is>
          <t>Türkiye Finans</t>
        </is>
      </c>
      <c r="D32" s="8" t="n">
        <v>48.751</v>
      </c>
      <c r="E32" s="8" t="n">
        <v>49.5542</v>
      </c>
      <c r="F32" s="8" t="n">
        <v>0.8032</v>
      </c>
      <c r="G32" s="9" t="n">
        <v>0.01647555947570306</v>
      </c>
      <c r="H32" s="10" t="n">
        <v>54.7554</v>
      </c>
      <c r="I32" s="10" t="n">
        <v>55.6068</v>
      </c>
      <c r="J32" s="10" t="n">
        <v>0.8514</v>
      </c>
      <c r="K32" s="11" t="n">
        <v>0.01554915131658247</v>
      </c>
      <c r="L32" s="12" t="n">
        <v>6435.22</v>
      </c>
      <c r="M32" s="12" t="n">
        <v>6631.53</v>
      </c>
      <c r="N32" s="12" t="n">
        <v>196.31</v>
      </c>
      <c r="O32" s="13" t="n">
        <v>0.03050556158142224</v>
      </c>
    </row>
    <row r="33">
      <c r="A33" s="5" t="n">
        <v>46302</v>
      </c>
      <c r="B33" s="6" t="n">
        <v>0.423125</v>
      </c>
      <c r="C33" s="44" t="inlineStr">
        <is>
          <t>Vakıf Katılım</t>
        </is>
      </c>
      <c r="D33" s="8" t="n">
        <v>49.0517</v>
      </c>
      <c r="E33" s="8" t="n">
        <v>49.2586</v>
      </c>
      <c r="F33" s="8" t="n">
        <v>0.2069</v>
      </c>
      <c r="G33" s="9" t="n">
        <v>0.004217998560702279</v>
      </c>
      <c r="H33" s="10" t="n">
        <v>55.0642</v>
      </c>
      <c r="I33" s="10" t="n">
        <v>55.2861</v>
      </c>
      <c r="J33" s="10" t="n">
        <v>0.2219</v>
      </c>
      <c r="K33" s="11" t="n">
        <v>0.00402984153043175</v>
      </c>
      <c r="L33" s="12" t="n">
        <v>6475.65</v>
      </c>
      <c r="M33" s="12" t="n">
        <v>6527.66</v>
      </c>
      <c r="N33" s="12" t="n">
        <v>52.01</v>
      </c>
      <c r="O33" s="13" t="n">
        <v>0.008031626168801587</v>
      </c>
    </row>
    <row r="34">
      <c r="A34" s="5" t="n">
        <v>46302</v>
      </c>
      <c r="B34" s="6" t="n">
        <v>0.423125</v>
      </c>
      <c r="C34" s="45" t="inlineStr">
        <is>
          <t>Vakıfbank</t>
        </is>
      </c>
      <c r="D34" s="8" t="n">
        <v>48.7807</v>
      </c>
      <c r="E34" s="8" t="n">
        <v>49.7644</v>
      </c>
      <c r="F34" s="8" t="n">
        <v>0.9837</v>
      </c>
      <c r="G34" s="9" t="n">
        <v>0.02016576227893409</v>
      </c>
      <c r="H34" s="10" t="n">
        <v>54.7734</v>
      </c>
      <c r="I34" s="10" t="n">
        <v>55.8693</v>
      </c>
      <c r="J34" s="10" t="n">
        <v>1.0959</v>
      </c>
      <c r="K34" s="11" t="n">
        <v>0.02000788704005959</v>
      </c>
      <c r="L34" s="12" t="n">
        <v>6439.3</v>
      </c>
      <c r="M34" s="12" t="n">
        <v>6581.9</v>
      </c>
      <c r="N34" s="12" t="n">
        <v>142.6</v>
      </c>
      <c r="O34" s="13" t="n">
        <v>0.02214526423679592</v>
      </c>
    </row>
    <row r="35">
      <c r="A35" s="5" t="n">
        <v>46302</v>
      </c>
      <c r="B35" s="6" t="n">
        <v>0.423125</v>
      </c>
      <c r="C35" s="46" t="inlineStr">
        <is>
          <t>Venüs</t>
        </is>
      </c>
      <c r="D35" s="8" t="n">
        <v>49.151</v>
      </c>
      <c r="E35" s="8" t="n">
        <v>49.202</v>
      </c>
      <c r="F35" s="8" t="n">
        <v>0.051</v>
      </c>
      <c r="G35" s="9" t="n">
        <v>0.00103761876665785</v>
      </c>
      <c r="H35" s="10" t="n">
        <v>55.047</v>
      </c>
      <c r="I35" s="10" t="n">
        <v>55.189</v>
      </c>
      <c r="J35" s="10" t="n">
        <v>0.142</v>
      </c>
      <c r="K35" s="11" t="n">
        <v>0.002579613784584083</v>
      </c>
      <c r="L35" s="12" t="n"/>
      <c r="M35" s="12" t="n"/>
      <c r="N35" s="12" t="n"/>
      <c r="O35" s="13" t="n"/>
    </row>
    <row r="36">
      <c r="A36" s="5" t="n">
        <v>46302</v>
      </c>
      <c r="B36" s="6" t="n">
        <v>0.423125</v>
      </c>
      <c r="C36" s="47" t="inlineStr">
        <is>
          <t>Yapıkredi</t>
        </is>
      </c>
      <c r="D36" s="8" t="n">
        <v>48.65</v>
      </c>
      <c r="E36" s="8" t="n">
        <v>49.65</v>
      </c>
      <c r="F36" s="8" t="n">
        <v>1</v>
      </c>
      <c r="G36" s="9" t="n">
        <v>0.02055498458376156</v>
      </c>
      <c r="H36" s="10" t="n">
        <v>54.62</v>
      </c>
      <c r="I36" s="10" t="n">
        <v>55.74</v>
      </c>
      <c r="J36" s="10" t="n">
        <v>1.12</v>
      </c>
      <c r="K36" s="11" t="n">
        <v>0.02050530941047235</v>
      </c>
      <c r="L36" s="12" t="n">
        <v>6426.16</v>
      </c>
      <c r="M36" s="12" t="n">
        <v>6626.78</v>
      </c>
      <c r="N36" s="12" t="n">
        <v>200.62</v>
      </c>
      <c r="O36" s="13" t="n">
        <v>0.03121926624920637</v>
      </c>
    </row>
    <row r="37">
      <c r="A37" s="5" t="n">
        <v>46302</v>
      </c>
      <c r="B37" s="6" t="n">
        <v>0.423125</v>
      </c>
      <c r="C37" s="48" t="inlineStr">
        <is>
          <t>Ziraat Bankası</t>
        </is>
      </c>
      <c r="D37" s="8" t="n">
        <v>48.7833</v>
      </c>
      <c r="E37" s="8" t="n">
        <v>49.7702</v>
      </c>
      <c r="F37" s="8" t="n">
        <v>0.9869</v>
      </c>
      <c r="G37" s="9" t="n">
        <v>0.02023028372414331</v>
      </c>
      <c r="H37" s="10" t="n">
        <v>54.7701</v>
      </c>
      <c r="I37" s="10" t="n">
        <v>55.8781</v>
      </c>
      <c r="J37" s="10" t="n">
        <v>1.108</v>
      </c>
      <c r="K37" s="11" t="n">
        <v>0.02023001601238632</v>
      </c>
      <c r="L37" s="12" t="n">
        <v>6471.58</v>
      </c>
      <c r="M37" s="12" t="n">
        <v>6602.25</v>
      </c>
      <c r="N37" s="12" t="n">
        <v>130.67</v>
      </c>
      <c r="O37" s="13" t="n">
        <v>0.02019135976067668</v>
      </c>
    </row>
    <row r="38">
      <c r="A38" s="5" t="n">
        <v>46302</v>
      </c>
      <c r="B38" s="6" t="n">
        <v>0.423125</v>
      </c>
      <c r="C38" s="49" t="inlineStr">
        <is>
          <t>Ziraat Dinamik</t>
        </is>
      </c>
      <c r="D38" s="8" t="n">
        <v>48.8321</v>
      </c>
      <c r="E38" s="8" t="n">
        <v>49.4965</v>
      </c>
      <c r="F38" s="8" t="n">
        <v>0.6644</v>
      </c>
      <c r="G38" s="9" t="n">
        <v>0.01360580437867714</v>
      </c>
      <c r="H38" s="10" t="n">
        <v>54.759</v>
      </c>
      <c r="I38" s="10" t="n">
        <v>55.5595</v>
      </c>
      <c r="J38" s="10" t="n">
        <v>0.8005</v>
      </c>
      <c r="K38" s="11" t="n">
        <v>0.01461860150842784</v>
      </c>
      <c r="L38" s="12" t="n">
        <v>6444.11</v>
      </c>
      <c r="M38" s="12" t="n">
        <v>6574.23</v>
      </c>
      <c r="N38" s="12" t="n">
        <v>130.12</v>
      </c>
      <c r="O38" s="13" t="n">
        <v>0.02019208238220639</v>
      </c>
    </row>
    <row r="39">
      <c r="A39" s="5" t="n">
        <v>46302</v>
      </c>
      <c r="B39" s="6" t="n">
        <v>0.423125</v>
      </c>
      <c r="C39" s="50" t="inlineStr">
        <is>
          <t>Ziraat Katılım</t>
        </is>
      </c>
      <c r="D39" s="8" t="n">
        <v>48.6589</v>
      </c>
      <c r="E39" s="8" t="n">
        <v>49.6744</v>
      </c>
      <c r="F39" s="8" t="n">
        <v>1.0155</v>
      </c>
      <c r="G39" s="9" t="n">
        <v>0.02086976894257783</v>
      </c>
      <c r="H39" s="10" t="n">
        <v>54.5836</v>
      </c>
      <c r="I39" s="10" t="n">
        <v>55.7774</v>
      </c>
      <c r="J39" s="10" t="n">
        <v>1.1938</v>
      </c>
      <c r="K39" s="11" t="n">
        <v>0.02187103818729435</v>
      </c>
      <c r="L39" s="12" t="n">
        <v>6464.52</v>
      </c>
      <c r="M39" s="12" t="n">
        <v>6669.63</v>
      </c>
      <c r="N39" s="12" t="n">
        <v>205.11</v>
      </c>
      <c r="O39" s="13" t="n">
        <v>0.03172857381522526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</hyperlinks>
  <pageMargins left="0.75" right="0.75" top="1" bottom="1" header="0.5" footer="0.5"/>
  <tableParts count="1">
    <tablePart xmlns:r="http://schemas.openxmlformats.org/officeDocument/2006/relationships" r:id="rId442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46302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0.423125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0.02023028372414331</v>
      </c>
      <c r="O5" s="73" t="inlineStr">
        <is>
          <t>Ziraat Bankası</t>
        </is>
      </c>
      <c r="P5" s="74" t="n">
        <v>48.7833</v>
      </c>
      <c r="Q5" s="74" t="n">
        <v>49.7702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0.02023001601238632</v>
      </c>
      <c r="O6" s="73" t="inlineStr">
        <is>
          <t>Ziraat Bankası</t>
        </is>
      </c>
      <c r="P6" s="74" t="n">
        <v>54.7701</v>
      </c>
      <c r="Q6" s="74" t="n">
        <v>55.8781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0.02019135976067668</v>
      </c>
      <c r="O7" s="73" t="inlineStr">
        <is>
          <t>Ziraat Bankası</t>
        </is>
      </c>
      <c r="P7" s="74" t="n">
        <v>6471.58</v>
      </c>
      <c r="Q7" s="74" t="n">
        <v>6602.25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0.03190143829955785</v>
      </c>
      <c r="I15" s="69" t="n">
        <v>0.03189966440735335</v>
      </c>
      <c r="J15" s="70" t="n">
        <v>0.04485393212542239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0.03614215237403928</v>
      </c>
      <c r="I16" s="69" t="n">
        <v>0.03623485662832248</v>
      </c>
      <c r="J16" s="70" t="n">
        <v>0.04936077559643759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0.03056008596550099</v>
      </c>
      <c r="I17" s="69" t="n">
        <v>0.02921957062680661</v>
      </c>
      <c r="J17" s="70" t="n">
        <v>0.04590348655024925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0.03184441735343296</v>
      </c>
      <c r="I18" s="69" t="n">
        <v>0.03184518452482475</v>
      </c>
      <c r="J18" s="70" t="n">
        <v>0.05576227670586621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0.03327869053227363</v>
      </c>
      <c r="I19" s="69" t="n">
        <v>0.03339048271012566</v>
      </c>
      <c r="J19" s="70" t="n">
        <v>0.0576790130735085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0.03190143829955785</v>
      </c>
      <c r="V4" s="55" t="n">
        <v>0.03614215237403928</v>
      </c>
      <c r="W4" s="55" t="n">
        <v>0.03056008596550099</v>
      </c>
      <c r="X4" s="55" t="n">
        <v>0.03184441735343296</v>
      </c>
      <c r="Y4" s="55" t="n">
        <v>0.03327869053227363</v>
      </c>
      <c r="Z4" s="55" t="n">
        <v>0.03189966440735335</v>
      </c>
      <c r="AA4" s="55" t="n">
        <v>0.03623485662832248</v>
      </c>
      <c r="AB4" s="55" t="n">
        <v>0.02921957062680661</v>
      </c>
      <c r="AC4" s="55" t="n">
        <v>0.03184518452482475</v>
      </c>
      <c r="AD4" s="55" t="n">
        <v>0.03339048271012566</v>
      </c>
      <c r="AE4" s="55" t="n">
        <v>0.04485393212542239</v>
      </c>
      <c r="AF4" s="55" t="n">
        <v>0.04936077559643759</v>
      </c>
      <c r="AG4" s="55" t="n">
        <v>0.04590348655024925</v>
      </c>
      <c r="AH4" s="55" t="n">
        <v>0.05576227670586621</v>
      </c>
      <c r="AI4" s="55" t="n">
        <v>0.0576790130735085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2026-10-07T07:09:59Z</dcterms:created>
  <dcterms:modified xsi:type="dcterms:W3CDTF">2026-10-07T07:10:00Z</dcterms:modified>
</cp:coreProperties>
</file>