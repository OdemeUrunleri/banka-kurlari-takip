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44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'GRAFIK_VERILERI'!$B$2:$B$45</f>
              <numCache>
                <formatCode>0.00%</formatCode>
                <ptCount val="4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'GRAFIK_VERILERI'!$C$2:$C$45</f>
              <numCache>
                <formatCode>0.00%</formatCode>
                <ptCount val="4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'GRAFIK_VERILERI'!$D$2:$D$45</f>
              <numCache>
                <formatCode>0.00%</formatCode>
                <ptCount val="4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'GRAFIK_VERILERI'!$E$2:$E$45</f>
              <numCache>
                <formatCode>0.00%</formatCode>
                <ptCount val="4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'GRAFIK_VERILERI'!$F$2:$F$45</f>
              <numCache>
                <formatCode>0.00%</formatCode>
                <ptCount val="4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'GRAFIK_VERILERI'!$G$2:$G$45</f>
              <numCache>
                <formatCode>0.00%</formatCode>
                <ptCount val="4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'GRAFIK_VERILERI'!$H$2:$H$45</f>
              <numCache>
                <formatCode>0.00%</formatCode>
                <ptCount val="4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'GRAFIK_VERILERI'!$I$2:$I$45</f>
              <numCache>
                <formatCode>0.00%</formatCode>
                <ptCount val="4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'GRAFIK_VERILERI'!$J$2:$J$45</f>
              <numCache>
                <formatCode>0.00%</formatCode>
                <ptCount val="4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'GRAFIK_VERILERI'!$K$2:$K$45</f>
              <numCache>
                <formatCode>0.00%</formatCode>
                <ptCount val="4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'GRAFIK_VERILERI'!$L$2:$L$45</f>
              <numCache>
                <formatCode>0.00%</formatCode>
                <ptCount val="4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'GRAFIK_VERILERI'!$M$2:$M$45</f>
              <numCache>
                <formatCode>0.00%</formatCode>
                <ptCount val="4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'GRAFIK_VERILERI'!$N$2:$N$45</f>
              <numCache>
                <formatCode>0.00%</formatCode>
                <ptCount val="4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'GRAFIK_VERILERI'!$O$2:$O$45</f>
              <numCache>
                <formatCode>0.00%</formatCode>
                <ptCount val="4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'GRAFIK_VERILERI'!$P$2:$P$45</f>
              <numCache>
                <formatCode>0.00%</formatCode>
                <ptCount val="4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0.03207398218008876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0.03651617067536249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0.03127784327029003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0.03242527821073948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0.03374594412565464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22461860524081"/>
          <min val="0.027542981992795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0.03207250476464986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0.03659046154023125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0.02991515317108728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0.03242573603807195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0.03386576584227372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0.04464282789934673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0.04994772230815381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0.04677771565881222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0.05754071313647774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0.05919240023947538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4868441440724"/>
          <min val="0.03454936755304055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'GRAFIK_VERILERI'!$B$2:$B$45</f>
              <numCache>
                <formatCode>0.00%</formatCode>
                <ptCount val="44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6676691645504"/>
          <min val="0.0249830374173373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'GRAFIK_VERILERI'!$G$2:$G$45</f>
              <numCache>
                <formatCode>0.00%</formatCode>
                <ptCount val="44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7455721775224"/>
          <min val="0.0249757484543022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'GRAFIK_VERILERI'!$L$2:$L$45</f>
              <numCache>
                <formatCode>0.00%</formatCode>
                <ptCount val="44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4858238160856"/>
          <min val="0.02302310082237711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'GRAFIK_VERILERI'!$C$2:$C$45</f>
              <numCache>
                <formatCode>0.00%</formatCode>
                <ptCount val="44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2340655590097"/>
          <min val="0.02187711097791623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'GRAFIK_VERILERI'!$H$2:$H$45</f>
              <numCache>
                <formatCode>0.00%</formatCode>
                <ptCount val="44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5256438213096"/>
          <min val="0.0218228845460879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'GRAFIK_VERILERI'!$M$2:$M$45</f>
              <numCache>
                <formatCode>0.00%</formatCode>
                <ptCount val="44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07927875854674"/>
          <min val="0.02544136687148374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'GRAFIK_VERILERI'!$D$2:$D$45</f>
              <numCache>
                <formatCode>0.00%</formatCode>
                <ptCount val="44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'GRAFIK_VERILERI'!$I$2:$I$45</f>
              <numCache>
                <formatCode>0.00%</formatCode>
                <ptCount val="44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'GRAFIK_VERILERI'!$N$2:$N$45</f>
              <numCache>
                <formatCode>0.00%</formatCode>
                <ptCount val="44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'GRAFIK_VERILERI'!$E$2:$E$45</f>
              <numCache>
                <formatCode>0.00%</formatCode>
                <ptCount val="44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'GRAFIK_VERILERI'!$J$2:$J$45</f>
              <numCache>
                <formatCode>0.00%</formatCode>
                <ptCount val="44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'GRAFIK_VERILERI'!$O$2:$O$45</f>
              <numCache>
                <formatCode>0.00%</formatCode>
                <ptCount val="44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'GRAFIK_VERILERI'!$F$2:$F$45</f>
              <numCache>
                <formatCode>0.00%</formatCode>
                <ptCount val="44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'GRAFIK_VERILERI'!$K$2:$K$45</f>
              <numCache>
                <formatCode>0.00%</formatCode>
                <ptCount val="44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'GRAFIK_VERILERI'!$A$2:$A$45</f>
              <strCache>
                <ptCount val="44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</strCache>
            </strRef>
          </cat>
          <val>
            <numRef>
              <f>'GRAFIK_VERILERI'!$P$2:$P$45</f>
              <numCache>
                <formatCode>0.00%</formatCode>
                <ptCount val="44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092043277762"/>
          <min val="0.006263719387438488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4744" headerRowCount="1">
  <autoFilter ref="A1:N4744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table" Target="/xl/tables/table2.xml" Id="rId474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46305</v>
      </c>
      <c r="B2" s="6" t="n">
        <v>0.4219907407407407</v>
      </c>
      <c r="C2" s="7" t="inlineStr">
        <is>
          <t>Akbank</t>
        </is>
      </c>
      <c r="D2" s="8" t="n">
        <v>47.847</v>
      </c>
      <c r="E2" s="8" t="n">
        <v>50.547</v>
      </c>
      <c r="F2" s="8" t="n">
        <v>2.7</v>
      </c>
      <c r="G2" s="9" t="n">
        <v>0.05642987021129851</v>
      </c>
      <c r="H2" s="10" t="n">
        <v>53.5931</v>
      </c>
      <c r="I2" s="10" t="n">
        <v>56.6224</v>
      </c>
      <c r="J2" s="10" t="n">
        <v>3.0293</v>
      </c>
      <c r="K2" s="11" t="n">
        <v>0.0565240674639086</v>
      </c>
      <c r="L2" s="12" t="n">
        <v>6483.48</v>
      </c>
      <c r="M2" s="12" t="n">
        <v>7022.36</v>
      </c>
      <c r="N2" s="12" t="n">
        <v>538.88</v>
      </c>
      <c r="O2" s="13" t="n">
        <v>0.08311585753330002</v>
      </c>
    </row>
    <row r="3">
      <c r="A3" s="5" t="n">
        <v>46305</v>
      </c>
      <c r="B3" s="6" t="n">
        <v>0.4219907407407407</v>
      </c>
      <c r="C3" s="14" t="inlineStr">
        <is>
          <t>Albaraka Türk</t>
        </is>
      </c>
      <c r="D3" s="8" t="n">
        <v>48.69</v>
      </c>
      <c r="E3" s="8" t="n">
        <v>49.733</v>
      </c>
      <c r="F3" s="8" t="n">
        <v>1.043</v>
      </c>
      <c r="G3" s="9" t="n">
        <v>0.02142123639350996</v>
      </c>
      <c r="H3" s="10" t="n">
        <v>54.542</v>
      </c>
      <c r="I3" s="10" t="n">
        <v>55.716</v>
      </c>
      <c r="J3" s="10" t="n">
        <v>1.174</v>
      </c>
      <c r="K3" s="11" t="n">
        <v>0.02152469656411573</v>
      </c>
      <c r="L3" s="12" t="n">
        <v>6519.01</v>
      </c>
      <c r="M3" s="12" t="n">
        <v>6687.26</v>
      </c>
      <c r="N3" s="12" t="n">
        <v>168.25</v>
      </c>
      <c r="O3" s="13" t="n">
        <v>0.02580913359543857</v>
      </c>
    </row>
    <row r="4">
      <c r="A4" s="5" t="n">
        <v>46305</v>
      </c>
      <c r="B4" s="6" t="n">
        <v>0.4219907407407407</v>
      </c>
      <c r="C4" s="15" t="inlineStr">
        <is>
          <t>Alternatif Bank</t>
        </is>
      </c>
      <c r="D4" s="8" t="n">
        <v>47.199</v>
      </c>
      <c r="E4" s="8" t="n">
        <v>51.201</v>
      </c>
      <c r="F4" s="8" t="n">
        <v>4.002</v>
      </c>
      <c r="G4" s="9" t="n">
        <v>0.08478993199008453</v>
      </c>
      <c r="H4" s="10" t="n">
        <v>52.686</v>
      </c>
      <c r="I4" s="10" t="n">
        <v>57.333</v>
      </c>
      <c r="J4" s="10" t="n">
        <v>4.647</v>
      </c>
      <c r="K4" s="11" t="n">
        <v>0.08820179933948298</v>
      </c>
      <c r="L4" s="12" t="n">
        <v>6338.89</v>
      </c>
      <c r="M4" s="12" t="n">
        <v>6903.68</v>
      </c>
      <c r="N4" s="12" t="n">
        <v>564.79</v>
      </c>
      <c r="O4" s="13" t="n">
        <v>0.08909919560049158</v>
      </c>
    </row>
    <row r="5">
      <c r="A5" s="5" t="n">
        <v>46305</v>
      </c>
      <c r="B5" s="6" t="n">
        <v>0.4219907407407407</v>
      </c>
      <c r="C5" s="16" t="inlineStr">
        <is>
          <t>Altınkaynak</t>
        </is>
      </c>
      <c r="D5" s="8" t="n">
        <v>49.109</v>
      </c>
      <c r="E5" s="8" t="n">
        <v>49.298</v>
      </c>
      <c r="F5" s="8" t="n">
        <v>0.189</v>
      </c>
      <c r="G5" s="9" t="n">
        <v>0.003848581726363803</v>
      </c>
      <c r="H5" s="10" t="n">
        <v>54.894</v>
      </c>
      <c r="I5" s="10" t="n">
        <v>55.228</v>
      </c>
      <c r="J5" s="10" t="n">
        <v>0.334</v>
      </c>
      <c r="K5" s="11" t="n">
        <v>0.00608445367435421</v>
      </c>
      <c r="L5" s="12" t="n">
        <v>6584</v>
      </c>
      <c r="M5" s="12" t="n">
        <v>6725</v>
      </c>
      <c r="N5" s="12" t="n">
        <v>141</v>
      </c>
      <c r="O5" s="13" t="n">
        <v>0.02141555285540705</v>
      </c>
    </row>
    <row r="6">
      <c r="A6" s="5" t="n">
        <v>46305</v>
      </c>
      <c r="B6" s="6" t="n">
        <v>0.4219907407407407</v>
      </c>
      <c r="C6" s="17" t="inlineStr">
        <is>
          <t>Anadolubank</t>
        </is>
      </c>
      <c r="D6" s="8" t="n">
        <v>48.6607</v>
      </c>
      <c r="E6" s="8" t="n">
        <v>49.7145</v>
      </c>
      <c r="F6" s="8" t="n">
        <v>1.0538</v>
      </c>
      <c r="G6" s="9" t="n">
        <v>0.0216560797522436</v>
      </c>
      <c r="H6" s="10" t="n">
        <v>53.8455</v>
      </c>
      <c r="I6" s="10" t="n">
        <v>56.2626</v>
      </c>
      <c r="J6" s="10" t="n">
        <v>2.4171</v>
      </c>
      <c r="K6" s="11" t="n">
        <v>0.0448895450873332</v>
      </c>
      <c r="L6" s="12" t="n">
        <v>5993.17</v>
      </c>
      <c r="M6" s="12" t="n">
        <v>7203.48</v>
      </c>
      <c r="N6" s="12" t="n">
        <v>1210.31</v>
      </c>
      <c r="O6" s="13" t="n">
        <v>0.2019482177211726</v>
      </c>
    </row>
    <row r="7">
      <c r="A7" s="5" t="n">
        <v>46305</v>
      </c>
      <c r="B7" s="6" t="n">
        <v>0.4219907407407407</v>
      </c>
      <c r="C7" s="18" t="inlineStr">
        <is>
          <t>CEPTETEB</t>
        </is>
      </c>
      <c r="D7" s="8" t="n">
        <v>47.138</v>
      </c>
      <c r="E7" s="8" t="n">
        <v>51.26</v>
      </c>
      <c r="F7" s="8" t="n">
        <v>4.122</v>
      </c>
      <c r="G7" s="9" t="n">
        <v>0.08744537315965888</v>
      </c>
      <c r="H7" s="10" t="n">
        <v>52.811</v>
      </c>
      <c r="I7" s="10" t="n">
        <v>57.429</v>
      </c>
      <c r="J7" s="10" t="n">
        <v>4.618</v>
      </c>
      <c r="K7" s="11" t="n">
        <v>0.08744390373217702</v>
      </c>
      <c r="L7" s="12" t="n">
        <v>5643.97</v>
      </c>
      <c r="M7" s="12" t="n">
        <v>7639.17</v>
      </c>
      <c r="N7" s="12" t="n">
        <v>1995.2</v>
      </c>
      <c r="O7" s="13" t="n">
        <v>0.3535100292878948</v>
      </c>
    </row>
    <row r="8">
      <c r="A8" s="5" t="n">
        <v>46305</v>
      </c>
      <c r="B8" s="6" t="n">
        <v>0.4219907407407407</v>
      </c>
      <c r="C8" s="19" t="inlineStr">
        <is>
          <t>Denizbank</t>
        </is>
      </c>
      <c r="D8" s="8" t="n">
        <v>47.6158</v>
      </c>
      <c r="E8" s="8" t="n">
        <v>50.4159</v>
      </c>
      <c r="F8" s="8" t="n">
        <v>2.8001</v>
      </c>
      <c r="G8" s="9" t="n">
        <v>0.05880611057674133</v>
      </c>
      <c r="H8" s="10" t="n">
        <v>53.3259</v>
      </c>
      <c r="I8" s="10" t="n">
        <v>56.4668</v>
      </c>
      <c r="J8" s="10" t="n">
        <v>3.1409</v>
      </c>
      <c r="K8" s="11" t="n">
        <v>0.05890008419923527</v>
      </c>
      <c r="L8" s="12" t="n">
        <v>6418.57</v>
      </c>
      <c r="M8" s="12" t="n">
        <v>6797.48</v>
      </c>
      <c r="N8" s="12" t="n">
        <v>378.91</v>
      </c>
      <c r="O8" s="13" t="n">
        <v>0.05903339840494067</v>
      </c>
    </row>
    <row r="9">
      <c r="A9" s="5" t="n">
        <v>46305</v>
      </c>
      <c r="B9" s="6" t="n">
        <v>0.4219907407407407</v>
      </c>
      <c r="C9" s="20" t="inlineStr">
        <is>
          <t>DestekBank</t>
        </is>
      </c>
      <c r="D9" s="8" t="n">
        <v>48.8816</v>
      </c>
      <c r="E9" s="8" t="n">
        <v>49.4313</v>
      </c>
      <c r="F9" s="8" t="n">
        <v>0.5497</v>
      </c>
      <c r="G9" s="9" t="n">
        <v>0.01124554024418186</v>
      </c>
      <c r="H9" s="10" t="n">
        <v>54.7326</v>
      </c>
      <c r="I9" s="10" t="n">
        <v>55.378</v>
      </c>
      <c r="J9" s="10" t="n">
        <v>0.6454</v>
      </c>
      <c r="K9" s="11" t="n">
        <v>0.01179187540880572</v>
      </c>
      <c r="L9" s="12" t="n">
        <v>6498.73</v>
      </c>
      <c r="M9" s="12" t="n">
        <v>6687.64</v>
      </c>
      <c r="N9" s="12" t="n">
        <v>188.91</v>
      </c>
      <c r="O9" s="13" t="n">
        <v>0.02906875651088751</v>
      </c>
    </row>
    <row r="10">
      <c r="A10" s="5" t="n">
        <v>46305</v>
      </c>
      <c r="B10" s="6" t="n">
        <v>0.4219907407407407</v>
      </c>
      <c r="C10" s="21" t="inlineStr">
        <is>
          <t>Dünya Katılım</t>
        </is>
      </c>
      <c r="D10" s="8" t="n">
        <v>49.0344</v>
      </c>
      <c r="E10" s="8" t="n">
        <v>49.3174</v>
      </c>
      <c r="F10" s="8" t="n">
        <v>0.283</v>
      </c>
      <c r="G10" s="9" t="n">
        <v>0.005771458404711795</v>
      </c>
      <c r="H10" s="10" t="n">
        <v>54.8249</v>
      </c>
      <c r="I10" s="10" t="n">
        <v>55.2845</v>
      </c>
      <c r="J10" s="10" t="n">
        <v>0.4596</v>
      </c>
      <c r="K10" s="11" t="n">
        <v>0.008383052226269451</v>
      </c>
      <c r="L10" s="12" t="n">
        <v>6562.45</v>
      </c>
      <c r="M10" s="12" t="n">
        <v>6630.31</v>
      </c>
      <c r="N10" s="12" t="n">
        <v>67.86</v>
      </c>
      <c r="O10" s="13" t="n">
        <v>0.01034065021447782</v>
      </c>
    </row>
    <row r="11">
      <c r="A11" s="5" t="n">
        <v>46305</v>
      </c>
      <c r="B11" s="6" t="n">
        <v>0.4219907407407407</v>
      </c>
      <c r="C11" s="22" t="inlineStr">
        <is>
          <t>Emlak Katılım</t>
        </is>
      </c>
      <c r="D11" s="8" t="n">
        <v>48.3672</v>
      </c>
      <c r="E11" s="8" t="n">
        <v>50.7808</v>
      </c>
      <c r="F11" s="8" t="n">
        <v>2.4136</v>
      </c>
      <c r="G11" s="9" t="n">
        <v>0.04990158619891166</v>
      </c>
      <c r="H11" s="10" t="n">
        <v>54.0943</v>
      </c>
      <c r="I11" s="10" t="n">
        <v>56.6334</v>
      </c>
      <c r="J11" s="10" t="n">
        <v>2.5391</v>
      </c>
      <c r="K11" s="11" t="n">
        <v>0.04693840201278138</v>
      </c>
      <c r="L11" s="12" t="n">
        <v>5591.81</v>
      </c>
      <c r="M11" s="12" t="n">
        <v>7104.93</v>
      </c>
      <c r="N11" s="12" t="n">
        <v>1513.12</v>
      </c>
      <c r="O11" s="13" t="n">
        <v>0.270595746278933</v>
      </c>
    </row>
    <row r="12">
      <c r="A12" s="5" t="n">
        <v>46305</v>
      </c>
      <c r="B12" s="6" t="n">
        <v>0.4219907407407407</v>
      </c>
      <c r="C12" s="23" t="inlineStr">
        <is>
          <t>Enpara</t>
        </is>
      </c>
      <c r="D12" s="8" t="n">
        <v>48.492</v>
      </c>
      <c r="E12" s="8" t="n">
        <v>50.1925</v>
      </c>
      <c r="F12" s="8" t="n">
        <v>1.7005</v>
      </c>
      <c r="G12" s="9" t="n">
        <v>0.03506764002309659</v>
      </c>
      <c r="H12" s="10" t="n">
        <v>54.0443</v>
      </c>
      <c r="I12" s="10" t="n">
        <v>56.5118</v>
      </c>
      <c r="J12" s="10" t="n">
        <v>2.4675</v>
      </c>
      <c r="K12" s="11" t="n">
        <v>0.04565698880362962</v>
      </c>
      <c r="L12" s="12" t="n">
        <v>6473.19</v>
      </c>
      <c r="M12" s="12" t="n">
        <v>6850.23</v>
      </c>
      <c r="N12" s="12" t="n">
        <v>377.04</v>
      </c>
      <c r="O12" s="13" t="n">
        <v>0.05824639783476153</v>
      </c>
    </row>
    <row r="13">
      <c r="A13" s="5" t="n">
        <v>46305</v>
      </c>
      <c r="B13" s="6" t="n">
        <v>0.4219907407407407</v>
      </c>
      <c r="C13" s="24" t="inlineStr">
        <is>
          <t>Fibabanka</t>
        </is>
      </c>
      <c r="D13" s="8" t="n">
        <v>47.7221</v>
      </c>
      <c r="E13" s="8" t="n">
        <v>50.9335</v>
      </c>
      <c r="F13" s="8" t="n">
        <v>3.2114</v>
      </c>
      <c r="G13" s="9" t="n">
        <v>0.06729376955330968</v>
      </c>
      <c r="H13" s="10" t="n">
        <v>53.1422</v>
      </c>
      <c r="I13" s="10" t="n">
        <v>57.5052</v>
      </c>
      <c r="J13" s="10" t="n">
        <v>4.363</v>
      </c>
      <c r="K13" s="11" t="n">
        <v>0.0821004775865508</v>
      </c>
      <c r="L13" s="12" t="n">
        <v>6352.25</v>
      </c>
      <c r="M13" s="12" t="n">
        <v>7102.68</v>
      </c>
      <c r="N13" s="12" t="n">
        <v>750.4299999999999</v>
      </c>
      <c r="O13" s="13" t="n">
        <v>0.1181360935101736</v>
      </c>
    </row>
    <row r="14">
      <c r="A14" s="5" t="n">
        <v>46305</v>
      </c>
      <c r="B14" s="6" t="n">
        <v>0.4219907407407407</v>
      </c>
      <c r="C14" s="25" t="inlineStr">
        <is>
          <t>Garanti BBVA</t>
        </is>
      </c>
      <c r="D14" s="8" t="n">
        <v>48.066</v>
      </c>
      <c r="E14" s="8" t="n">
        <v>50.066</v>
      </c>
      <c r="F14" s="8" t="n">
        <v>2</v>
      </c>
      <c r="G14" s="9" t="n">
        <v>0.04160945366787334</v>
      </c>
      <c r="H14" s="10" t="n">
        <v>53.834</v>
      </c>
      <c r="I14" s="10" t="n">
        <v>56.074</v>
      </c>
      <c r="J14" s="10" t="n">
        <v>2.24</v>
      </c>
      <c r="K14" s="11" t="n">
        <v>0.04160939183415685</v>
      </c>
      <c r="L14" s="12" t="n">
        <v>6421.84</v>
      </c>
      <c r="M14" s="12" t="n">
        <v>6874.65</v>
      </c>
      <c r="N14" s="12" t="n">
        <v>452.81</v>
      </c>
      <c r="O14" s="13" t="n">
        <v>0.07051094390392784</v>
      </c>
    </row>
    <row r="15">
      <c r="A15" s="5" t="n">
        <v>46305</v>
      </c>
      <c r="B15" s="6" t="n">
        <v>0.4219907407407407</v>
      </c>
      <c r="C15" s="26" t="inlineStr">
        <is>
          <t>Getirfinans</t>
        </is>
      </c>
      <c r="D15" s="8" t="n">
        <v>47.7221</v>
      </c>
      <c r="E15" s="8" t="n">
        <v>50.9335</v>
      </c>
      <c r="F15" s="8" t="n">
        <v>3.2114</v>
      </c>
      <c r="G15" s="9" t="n">
        <v>0.06729376955330968</v>
      </c>
      <c r="H15" s="10" t="n">
        <v>53.1422</v>
      </c>
      <c r="I15" s="10" t="n">
        <v>57.5052</v>
      </c>
      <c r="J15" s="10" t="n">
        <v>4.363</v>
      </c>
      <c r="K15" s="11" t="n">
        <v>0.0821004775865508</v>
      </c>
      <c r="L15" s="12" t="n">
        <v>6352.25</v>
      </c>
      <c r="M15" s="12" t="n">
        <v>7102.68</v>
      </c>
      <c r="N15" s="12" t="n">
        <v>750.4299999999999</v>
      </c>
      <c r="O15" s="13" t="n">
        <v>0.1181360935101736</v>
      </c>
    </row>
    <row r="16">
      <c r="A16" s="5" t="n">
        <v>46305</v>
      </c>
      <c r="B16" s="6" t="n">
        <v>0.4219907407407407</v>
      </c>
      <c r="C16" s="27" t="inlineStr">
        <is>
          <t>Halkbank</t>
        </is>
      </c>
      <c r="D16" s="8" t="n">
        <v>48.0625</v>
      </c>
      <c r="E16" s="8" t="n">
        <v>50.7625</v>
      </c>
      <c r="F16" s="8" t="n">
        <v>2.7</v>
      </c>
      <c r="G16" s="9" t="n">
        <v>0.05617685305591677</v>
      </c>
      <c r="H16" s="10" t="n">
        <v>53.8276</v>
      </c>
      <c r="I16" s="10" t="n">
        <v>56.8515</v>
      </c>
      <c r="J16" s="10" t="n">
        <v>3.0239</v>
      </c>
      <c r="K16" s="11" t="n">
        <v>0.05617750001857783</v>
      </c>
      <c r="L16" s="12" t="n">
        <v>6254.31</v>
      </c>
      <c r="M16" s="12" t="n">
        <v>7149.81</v>
      </c>
      <c r="N16" s="12" t="n">
        <v>895.5</v>
      </c>
      <c r="O16" s="13" t="n">
        <v>0.1431812622015858</v>
      </c>
    </row>
    <row r="17">
      <c r="A17" s="5" t="n">
        <v>46305</v>
      </c>
      <c r="B17" s="6" t="n">
        <v>0.4219907407407407</v>
      </c>
      <c r="C17" s="28" t="inlineStr">
        <is>
          <t>Harem</t>
        </is>
      </c>
      <c r="D17" s="8" t="n">
        <v>48.92</v>
      </c>
      <c r="E17" s="8" t="n">
        <v>49.253</v>
      </c>
      <c r="F17" s="8" t="n">
        <v>0.333</v>
      </c>
      <c r="G17" s="9" t="n">
        <v>0.006807031888798038</v>
      </c>
      <c r="H17" s="10" t="n">
        <v>54.699</v>
      </c>
      <c r="I17" s="10" t="n">
        <v>55.152</v>
      </c>
      <c r="J17" s="10" t="n">
        <v>0.453</v>
      </c>
      <c r="K17" s="11" t="n">
        <v>0.008281687050951572</v>
      </c>
      <c r="L17" s="12" t="n">
        <v>6556.96</v>
      </c>
      <c r="M17" s="12" t="n">
        <v>6671.08</v>
      </c>
      <c r="N17" s="12" t="n">
        <v>114.12</v>
      </c>
      <c r="O17" s="13" t="n">
        <v>0.01740440692028013</v>
      </c>
    </row>
    <row r="18">
      <c r="A18" s="5" t="n">
        <v>46305</v>
      </c>
      <c r="B18" s="6" t="n">
        <v>0.4219907407407407</v>
      </c>
      <c r="C18" s="29" t="inlineStr">
        <is>
          <t>Hayat Finans</t>
        </is>
      </c>
      <c r="D18" s="8" t="n">
        <v>48.6594</v>
      </c>
      <c r="E18" s="8" t="n">
        <v>49.5221</v>
      </c>
      <c r="F18" s="8" t="n">
        <v>0.8627</v>
      </c>
      <c r="G18" s="9" t="n">
        <v>0.01772935958930854</v>
      </c>
      <c r="H18" s="10" t="n">
        <v>54.2193</v>
      </c>
      <c r="I18" s="10" t="n">
        <v>55.4409</v>
      </c>
      <c r="J18" s="10" t="n">
        <v>1.2216</v>
      </c>
      <c r="K18" s="11" t="n">
        <v>0.02253072245491919</v>
      </c>
      <c r="L18" s="12" t="n">
        <v>6552.16</v>
      </c>
      <c r="M18" s="12" t="n">
        <v>6735.96</v>
      </c>
      <c r="N18" s="12" t="n">
        <v>183.8</v>
      </c>
      <c r="O18" s="13" t="n">
        <v>0.02805181802642182</v>
      </c>
    </row>
    <row r="19">
      <c r="A19" s="5" t="n">
        <v>46305</v>
      </c>
      <c r="B19" s="6" t="n">
        <v>0.4219907407407407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6519.17</v>
      </c>
      <c r="M19" s="12" t="n">
        <v>6710.81</v>
      </c>
      <c r="N19" s="12" t="n">
        <v>191.64</v>
      </c>
      <c r="O19" s="13" t="n">
        <v>0.02939638021404565</v>
      </c>
    </row>
    <row r="20">
      <c r="A20" s="5" t="n">
        <v>46305</v>
      </c>
      <c r="B20" s="6" t="n">
        <v>0.4219907407407407</v>
      </c>
      <c r="C20" s="31" t="inlineStr">
        <is>
          <t>HSBC</t>
        </is>
      </c>
      <c r="D20" s="8" t="n">
        <v>48.3855</v>
      </c>
      <c r="E20" s="8" t="n">
        <v>50.3231</v>
      </c>
      <c r="F20" s="8" t="n">
        <v>1.9376</v>
      </c>
      <c r="G20" s="9" t="n">
        <v>0.0400450548201424</v>
      </c>
      <c r="H20" s="10" t="n">
        <v>53.7342</v>
      </c>
      <c r="I20" s="10" t="n">
        <v>56.8793</v>
      </c>
      <c r="J20" s="10" t="n">
        <v>3.1451</v>
      </c>
      <c r="K20" s="11" t="n">
        <v>0.05853069367367524</v>
      </c>
      <c r="L20" s="12" t="n">
        <v>6462.6</v>
      </c>
      <c r="M20" s="12" t="n">
        <v>7104.67</v>
      </c>
      <c r="N20" s="12" t="n">
        <v>642.0700000000001</v>
      </c>
      <c r="O20" s="13" t="n">
        <v>0.09935165413301147</v>
      </c>
    </row>
    <row r="21">
      <c r="A21" s="5" t="n">
        <v>46305</v>
      </c>
      <c r="B21" s="6" t="n">
        <v>0.4219907407407407</v>
      </c>
      <c r="C21" s="32" t="inlineStr">
        <is>
          <t>ING Bank</t>
        </is>
      </c>
      <c r="D21" s="8" t="n">
        <v>47.8962</v>
      </c>
      <c r="E21" s="8" t="n">
        <v>50.3865</v>
      </c>
      <c r="F21" s="8" t="n">
        <v>2.4903</v>
      </c>
      <c r="G21" s="9" t="n">
        <v>0.0519936863467248</v>
      </c>
      <c r="H21" s="10" t="n">
        <v>53.6739</v>
      </c>
      <c r="I21" s="10" t="n">
        <v>56.2741</v>
      </c>
      <c r="J21" s="10" t="n">
        <v>2.6002</v>
      </c>
      <c r="K21" s="11" t="n">
        <v>0.04844440221411151</v>
      </c>
      <c r="L21" s="12" t="n">
        <v>6366.42</v>
      </c>
      <c r="M21" s="12" t="n">
        <v>6861.37</v>
      </c>
      <c r="N21" s="12" t="n">
        <v>494.95</v>
      </c>
      <c r="O21" s="13" t="n">
        <v>0.07774384976171851</v>
      </c>
    </row>
    <row r="22">
      <c r="A22" s="5" t="n">
        <v>46305</v>
      </c>
      <c r="B22" s="6" t="n">
        <v>0.4219907407407407</v>
      </c>
      <c r="C22" s="33" t="inlineStr">
        <is>
          <t>İş Bankası</t>
        </is>
      </c>
      <c r="D22" s="8" t="n">
        <v>48.0019</v>
      </c>
      <c r="E22" s="8" t="n">
        <v>50.6856</v>
      </c>
      <c r="F22" s="8" t="n">
        <v>2.6837</v>
      </c>
      <c r="G22" s="9" t="n">
        <v>0.05590820363360617</v>
      </c>
      <c r="H22" s="10" t="n">
        <v>53.7669</v>
      </c>
      <c r="I22" s="10" t="n">
        <v>56.778</v>
      </c>
      <c r="J22" s="10" t="n">
        <v>3.0111</v>
      </c>
      <c r="K22" s="11" t="n">
        <v>0.05600285677619502</v>
      </c>
      <c r="L22" s="12" t="n">
        <v>6230.38</v>
      </c>
      <c r="M22" s="12" t="n">
        <v>7060.01</v>
      </c>
      <c r="N22" s="12" t="n">
        <v>829.63</v>
      </c>
      <c r="O22" s="13" t="n">
        <v>0.1331588121430796</v>
      </c>
    </row>
    <row r="23">
      <c r="A23" s="5" t="n">
        <v>46305</v>
      </c>
      <c r="B23" s="6" t="n">
        <v>0.4219907407407407</v>
      </c>
      <c r="C23" s="34" t="inlineStr">
        <is>
          <t>Kapalıçarşı</t>
        </is>
      </c>
      <c r="D23" s="8" t="n">
        <v>49.15</v>
      </c>
      <c r="E23" s="8" t="n">
        <v>49.16</v>
      </c>
      <c r="F23" s="8" t="n">
        <v>0.01</v>
      </c>
      <c r="G23" s="9" t="n">
        <v>0.0002034587995930824</v>
      </c>
      <c r="H23" s="10" t="n">
        <v>54.9</v>
      </c>
      <c r="I23" s="10" t="n">
        <v>54.95</v>
      </c>
      <c r="J23" s="10" t="n">
        <v>0.05</v>
      </c>
      <c r="K23" s="11" t="n">
        <v>0.0009107468123861566</v>
      </c>
      <c r="L23" s="12" t="n">
        <v>6609.32</v>
      </c>
      <c r="M23" s="12" t="n">
        <v>6615.6</v>
      </c>
      <c r="N23" s="12" t="n">
        <v>6.28</v>
      </c>
      <c r="O23" s="13" t="n">
        <v>0.0009501733915138018</v>
      </c>
    </row>
    <row r="24">
      <c r="A24" s="5" t="n">
        <v>46305</v>
      </c>
      <c r="B24" s="6" t="n">
        <v>0.4219907407407407</v>
      </c>
      <c r="C24" s="35" t="inlineStr">
        <is>
          <t>Kuveyt Türk</t>
        </is>
      </c>
      <c r="D24" s="8" t="n">
        <v>45.5429</v>
      </c>
      <c r="E24" s="8" t="n">
        <v>50.2512</v>
      </c>
      <c r="F24" s="8" t="n">
        <v>4.7083</v>
      </c>
      <c r="G24" s="9" t="n">
        <v>0.1033816467550376</v>
      </c>
      <c r="H24" s="10" t="n">
        <v>50.9889</v>
      </c>
      <c r="I24" s="10" t="n">
        <v>56.3065</v>
      </c>
      <c r="J24" s="10" t="n">
        <v>5.3176</v>
      </c>
      <c r="K24" s="11" t="n">
        <v>0.1042893649402125</v>
      </c>
      <c r="L24" s="12" t="n">
        <v>6188.9</v>
      </c>
      <c r="M24" s="12" t="n">
        <v>6809.66</v>
      </c>
      <c r="N24" s="12" t="n">
        <v>620.76</v>
      </c>
      <c r="O24" s="13" t="n">
        <v>0.1003021538560972</v>
      </c>
    </row>
    <row r="25">
      <c r="A25" s="5" t="n">
        <v>46305</v>
      </c>
      <c r="B25" s="6" t="n">
        <v>0.4219907407407407</v>
      </c>
      <c r="C25" s="36" t="inlineStr">
        <is>
          <t>Merkez Bankası</t>
        </is>
      </c>
      <c r="D25" s="8" t="n">
        <v>49.1274</v>
      </c>
      <c r="E25" s="8" t="n">
        <v>49.216</v>
      </c>
      <c r="F25" s="8" t="n">
        <v>0.0886</v>
      </c>
      <c r="G25" s="9" t="n">
        <v>0.001803474232302137</v>
      </c>
      <c r="H25" s="10" t="n">
        <v>55.1112</v>
      </c>
      <c r="I25" s="10" t="n">
        <v>55.2105</v>
      </c>
      <c r="J25" s="10" t="n">
        <v>0.0993</v>
      </c>
      <c r="K25" s="11" t="n">
        <v>0.001801811609981274</v>
      </c>
      <c r="L25" s="12" t="n"/>
      <c r="M25" s="12" t="n"/>
      <c r="N25" s="12" t="n"/>
      <c r="O25" s="13" t="n"/>
    </row>
    <row r="26">
      <c r="A26" s="5" t="n">
        <v>46305</v>
      </c>
      <c r="B26" s="6" t="n">
        <v>0.4219907407407407</v>
      </c>
      <c r="C26" s="37" t="inlineStr">
        <is>
          <t>Misyon Bank</t>
        </is>
      </c>
      <c r="D26" s="8" t="n">
        <v>48.8838</v>
      </c>
      <c r="E26" s="8" t="n">
        <v>49.2968</v>
      </c>
      <c r="F26" s="8" t="n">
        <v>0.413</v>
      </c>
      <c r="G26" s="9" t="n">
        <v>0.008448606695878798</v>
      </c>
      <c r="H26" s="10" t="n">
        <v>54.6371</v>
      </c>
      <c r="I26" s="10" t="n">
        <v>55.3369</v>
      </c>
      <c r="J26" s="10" t="n">
        <v>0.6998</v>
      </c>
      <c r="K26" s="11" t="n">
        <v>0.01280814684527546</v>
      </c>
      <c r="L26" s="12" t="n">
        <v>6526.08</v>
      </c>
      <c r="M26" s="12" t="n">
        <v>6644.06</v>
      </c>
      <c r="N26" s="12" t="n">
        <v>117.98</v>
      </c>
      <c r="O26" s="13" t="n">
        <v>0.01807823379425321</v>
      </c>
    </row>
    <row r="27">
      <c r="A27" s="5" t="n">
        <v>46305</v>
      </c>
      <c r="B27" s="6" t="n">
        <v>0.4219907407407407</v>
      </c>
      <c r="C27" s="38" t="inlineStr">
        <is>
          <t>Odacı</t>
        </is>
      </c>
      <c r="D27" s="8" t="n">
        <v>49.168</v>
      </c>
      <c r="E27" s="8" t="n">
        <v>49.132</v>
      </c>
      <c r="F27" s="8" t="n">
        <v>-0.036</v>
      </c>
      <c r="G27" s="9" t="n">
        <v>-0.0007321835340058574</v>
      </c>
      <c r="H27" s="10" t="n">
        <v>55.029</v>
      </c>
      <c r="I27" s="10" t="n">
        <v>54.948</v>
      </c>
      <c r="J27" s="10" t="n">
        <v>-0.081</v>
      </c>
      <c r="K27" s="11" t="n">
        <v>-0.001471951153028403</v>
      </c>
      <c r="L27" s="12" t="n">
        <v>6625</v>
      </c>
      <c r="M27" s="12" t="n">
        <v>6640</v>
      </c>
      <c r="N27" s="12" t="n">
        <v>15</v>
      </c>
      <c r="O27" s="13" t="n">
        <v>0.002264150943396227</v>
      </c>
    </row>
    <row r="28">
      <c r="A28" s="5" t="n">
        <v>46305</v>
      </c>
      <c r="B28" s="6" t="n">
        <v>0.4219907407407407</v>
      </c>
      <c r="C28" s="39" t="inlineStr">
        <is>
          <t>Odeabank</t>
        </is>
      </c>
      <c r="D28" s="8" t="n">
        <v>48.269</v>
      </c>
      <c r="E28" s="8" t="n">
        <v>50.069</v>
      </c>
      <c r="F28" s="8" t="n">
        <v>1.8</v>
      </c>
      <c r="G28" s="9" t="n">
        <v>0.0372910149371232</v>
      </c>
      <c r="H28" s="10" t="n">
        <v>53.989</v>
      </c>
      <c r="I28" s="10" t="n">
        <v>56.129</v>
      </c>
      <c r="J28" s="10" t="n">
        <v>2.14</v>
      </c>
      <c r="K28" s="11" t="n">
        <v>0.039637703976736</v>
      </c>
      <c r="L28" s="12" t="n">
        <v>6455.33</v>
      </c>
      <c r="M28" s="12" t="n">
        <v>6805.33</v>
      </c>
      <c r="N28" s="12" t="n">
        <v>350</v>
      </c>
      <c r="O28" s="13" t="n">
        <v>0.05421876186035415</v>
      </c>
    </row>
    <row r="29">
      <c r="A29" s="5" t="n">
        <v>46305</v>
      </c>
      <c r="B29" s="6" t="n">
        <v>0.4219907407407407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6519.16</v>
      </c>
      <c r="M29" s="12" t="n">
        <v>6697.41</v>
      </c>
      <c r="N29" s="12" t="n">
        <v>178.25</v>
      </c>
      <c r="O29" s="13" t="n">
        <v>0.02734247970597439</v>
      </c>
    </row>
    <row r="30">
      <c r="A30" s="5" t="n">
        <v>46305</v>
      </c>
      <c r="B30" s="6" t="n">
        <v>0.4219907407407407</v>
      </c>
      <c r="C30" s="41" t="inlineStr">
        <is>
          <t>QNB Finansbank</t>
        </is>
      </c>
      <c r="D30" s="8" t="n">
        <v>47.832</v>
      </c>
      <c r="E30" s="8" t="n">
        <v>50.8525</v>
      </c>
      <c r="F30" s="8" t="n">
        <v>3.0205</v>
      </c>
      <c r="G30" s="9" t="n">
        <v>0.06314810168924569</v>
      </c>
      <c r="H30" s="10" t="n">
        <v>53.0355</v>
      </c>
      <c r="I30" s="10" t="n">
        <v>57.5455</v>
      </c>
      <c r="J30" s="10" t="n">
        <v>4.51</v>
      </c>
      <c r="K30" s="11" t="n">
        <v>0.08503738062241328</v>
      </c>
      <c r="L30" s="12" t="n">
        <v>6325.1</v>
      </c>
      <c r="M30" s="12" t="n">
        <v>6922.96</v>
      </c>
      <c r="N30" s="12" t="n">
        <v>597.86</v>
      </c>
      <c r="O30" s="13" t="n">
        <v>0.0945218257418855</v>
      </c>
    </row>
    <row r="31">
      <c r="A31" s="5" t="n">
        <v>46305</v>
      </c>
      <c r="B31" s="6" t="n">
        <v>0.4219907407407407</v>
      </c>
      <c r="C31" s="42" t="inlineStr">
        <is>
          <t>TOM Bank Hadi</t>
        </is>
      </c>
      <c r="D31" s="8" t="n">
        <v>48.7769</v>
      </c>
      <c r="E31" s="8" t="n">
        <v>49.516</v>
      </c>
      <c r="F31" s="8" t="n">
        <v>0.7391</v>
      </c>
      <c r="G31" s="9" t="n">
        <v>0.01515266447847239</v>
      </c>
      <c r="H31" s="10" t="n">
        <v>54.6383</v>
      </c>
      <c r="I31" s="10" t="n">
        <v>55.4661</v>
      </c>
      <c r="J31" s="10" t="n">
        <v>0.8278</v>
      </c>
      <c r="K31" s="11" t="n">
        <v>0.01515054458136509</v>
      </c>
      <c r="L31" s="12" t="n">
        <v>6545.17</v>
      </c>
      <c r="M31" s="12" t="n">
        <v>6693.92</v>
      </c>
      <c r="N31" s="12" t="n">
        <v>148.75</v>
      </c>
      <c r="O31" s="13" t="n">
        <v>0.02272668242383315</v>
      </c>
    </row>
    <row r="32">
      <c r="A32" s="5" t="n">
        <v>46305</v>
      </c>
      <c r="B32" s="6" t="n">
        <v>0.4219907407407407</v>
      </c>
      <c r="C32" s="43" t="inlineStr">
        <is>
          <t>Türkiye Finans</t>
        </is>
      </c>
      <c r="D32" s="8" t="n">
        <v>48.4362</v>
      </c>
      <c r="E32" s="8" t="n">
        <v>49.744</v>
      </c>
      <c r="F32" s="8" t="n">
        <v>1.3078</v>
      </c>
      <c r="G32" s="9" t="n">
        <v>0.02700046659316792</v>
      </c>
      <c r="H32" s="10" t="n">
        <v>54.2425</v>
      </c>
      <c r="I32" s="10" t="n">
        <v>55.7208</v>
      </c>
      <c r="J32" s="10" t="n">
        <v>1.4783</v>
      </c>
      <c r="K32" s="11" t="n">
        <v>0.02725353735539476</v>
      </c>
      <c r="L32" s="12" t="n">
        <v>6485.17</v>
      </c>
      <c r="M32" s="12" t="n">
        <v>6753.65</v>
      </c>
      <c r="N32" s="12" t="n">
        <v>268.48</v>
      </c>
      <c r="O32" s="13" t="n">
        <v>0.04139906895270287</v>
      </c>
    </row>
    <row r="33">
      <c r="A33" s="5" t="n">
        <v>46305</v>
      </c>
      <c r="B33" s="6" t="n">
        <v>0.4219907407407407</v>
      </c>
      <c r="C33" s="44" t="inlineStr">
        <is>
          <t>Vakıf Katılım</t>
        </is>
      </c>
      <c r="D33" s="8" t="n">
        <v>48.9114</v>
      </c>
      <c r="E33" s="8" t="n">
        <v>49.3249</v>
      </c>
      <c r="F33" s="8" t="n">
        <v>0.4135</v>
      </c>
      <c r="G33" s="9" t="n">
        <v>0.008454061834255408</v>
      </c>
      <c r="H33" s="10" t="n">
        <v>54.7771</v>
      </c>
      <c r="I33" s="10" t="n">
        <v>55.2195</v>
      </c>
      <c r="J33" s="10" t="n">
        <v>0.4424</v>
      </c>
      <c r="K33" s="11" t="n">
        <v>0.008076367679194408</v>
      </c>
      <c r="L33" s="12" t="n">
        <v>6538.91</v>
      </c>
      <c r="M33" s="12" t="n">
        <v>6644.38</v>
      </c>
      <c r="N33" s="12" t="n">
        <v>105.47</v>
      </c>
      <c r="O33" s="13" t="n">
        <v>0.01612959958158164</v>
      </c>
    </row>
    <row r="34">
      <c r="A34" s="5" t="n">
        <v>46305</v>
      </c>
      <c r="B34" s="6" t="n">
        <v>0.4219907407407407</v>
      </c>
      <c r="C34" s="45" t="inlineStr">
        <is>
          <t>Vakıfbank</t>
        </is>
      </c>
      <c r="D34" s="8" t="n">
        <v>47.9673</v>
      </c>
      <c r="E34" s="8" t="n">
        <v>50.7523</v>
      </c>
      <c r="F34" s="8" t="n">
        <v>2.785</v>
      </c>
      <c r="G34" s="9" t="n">
        <v>0.05806038697195798</v>
      </c>
      <c r="H34" s="10" t="n">
        <v>53.5719</v>
      </c>
      <c r="I34" s="10" t="n">
        <v>56.7299</v>
      </c>
      <c r="J34" s="10" t="n">
        <v>3.158</v>
      </c>
      <c r="K34" s="11" t="n">
        <v>0.05894881458376499</v>
      </c>
      <c r="L34" s="12" t="n">
        <v>6292.75</v>
      </c>
      <c r="M34" s="12" t="n">
        <v>7189.75</v>
      </c>
      <c r="N34" s="12" t="n">
        <v>897</v>
      </c>
      <c r="O34" s="13" t="n">
        <v>0.1425449922529896</v>
      </c>
    </row>
    <row r="35">
      <c r="A35" s="5" t="n">
        <v>46305</v>
      </c>
      <c r="B35" s="6" t="n">
        <v>0.4219907407407407</v>
      </c>
      <c r="C35" s="46" t="inlineStr">
        <is>
          <t>Venüs</t>
        </is>
      </c>
      <c r="D35" s="8" t="n">
        <v>49.133</v>
      </c>
      <c r="E35" s="8" t="n">
        <v>49.277</v>
      </c>
      <c r="F35" s="8" t="n">
        <v>0.144</v>
      </c>
      <c r="G35" s="9" t="n">
        <v>0.002930820426190137</v>
      </c>
      <c r="H35" s="10" t="n">
        <v>54.924</v>
      </c>
      <c r="I35" s="10" t="n">
        <v>55.161</v>
      </c>
      <c r="J35" s="10" t="n">
        <v>0.237</v>
      </c>
      <c r="K35" s="11" t="n">
        <v>0.004315053528512126</v>
      </c>
      <c r="L35" s="12" t="n"/>
      <c r="M35" s="12" t="n"/>
      <c r="N35" s="12" t="n"/>
      <c r="O35" s="13" t="n"/>
    </row>
    <row r="36">
      <c r="A36" s="5" t="n">
        <v>46305</v>
      </c>
      <c r="B36" s="6" t="n">
        <v>0.4219907407407407</v>
      </c>
      <c r="C36" s="47" t="inlineStr">
        <is>
          <t>Yapıkredi</t>
        </is>
      </c>
      <c r="D36" s="8" t="n">
        <v>47.78</v>
      </c>
      <c r="E36" s="8" t="n">
        <v>50.54</v>
      </c>
      <c r="F36" s="8" t="n">
        <v>2.76</v>
      </c>
      <c r="G36" s="9" t="n">
        <v>0.05776475512766848</v>
      </c>
      <c r="H36" s="10" t="n">
        <v>53.62</v>
      </c>
      <c r="I36" s="10" t="n">
        <v>56.49</v>
      </c>
      <c r="J36" s="10" t="n">
        <v>2.87</v>
      </c>
      <c r="K36" s="11" t="n">
        <v>0.0535248041775457</v>
      </c>
      <c r="L36" s="12" t="n">
        <v>6395.81</v>
      </c>
      <c r="M36" s="12" t="n">
        <v>6934.9</v>
      </c>
      <c r="N36" s="12" t="n">
        <v>539.09</v>
      </c>
      <c r="O36" s="13" t="n">
        <v>0.08428799479659339</v>
      </c>
    </row>
    <row r="37">
      <c r="A37" s="5" t="n">
        <v>46305</v>
      </c>
      <c r="B37" s="6" t="n">
        <v>0.4219907407407407</v>
      </c>
      <c r="C37" s="48" t="inlineStr">
        <is>
          <t>Ziraat Bankası</t>
        </is>
      </c>
      <c r="D37" s="8" t="n">
        <v>47.884</v>
      </c>
      <c r="E37" s="8" t="n">
        <v>50.7991</v>
      </c>
      <c r="F37" s="8" t="n">
        <v>2.9151</v>
      </c>
      <c r="G37" s="9" t="n">
        <v>0.06087837273410743</v>
      </c>
      <c r="H37" s="10" t="n">
        <v>53.6125</v>
      </c>
      <c r="I37" s="10" t="n">
        <v>56.8764</v>
      </c>
      <c r="J37" s="10" t="n">
        <v>3.2639</v>
      </c>
      <c r="K37" s="11" t="n">
        <v>0.06087945908137095</v>
      </c>
      <c r="L37" s="12" t="n">
        <v>6374.02</v>
      </c>
      <c r="M37" s="12" t="n">
        <v>7296.26</v>
      </c>
      <c r="N37" s="12" t="n">
        <v>922.24</v>
      </c>
      <c r="O37" s="13" t="n">
        <v>0.1446873401715087</v>
      </c>
    </row>
    <row r="38">
      <c r="A38" s="5" t="n">
        <v>46305</v>
      </c>
      <c r="B38" s="6" t="n">
        <v>0.4219907407407407</v>
      </c>
      <c r="C38" s="49" t="inlineStr">
        <is>
          <t>Ziraat Dinamik</t>
        </is>
      </c>
      <c r="D38" s="8" t="n">
        <v>47.9319</v>
      </c>
      <c r="E38" s="8" t="n">
        <v>50.5197</v>
      </c>
      <c r="F38" s="8" t="n">
        <v>2.5878</v>
      </c>
      <c r="G38" s="9" t="n">
        <v>0.05398909703141332</v>
      </c>
      <c r="H38" s="10" t="n">
        <v>53.6125</v>
      </c>
      <c r="I38" s="10" t="n">
        <v>56.5636</v>
      </c>
      <c r="J38" s="10" t="n">
        <v>2.9511</v>
      </c>
      <c r="K38" s="11" t="n">
        <v>0.05504499883422709</v>
      </c>
      <c r="L38" s="12" t="n">
        <v>6342.15</v>
      </c>
      <c r="M38" s="12" t="n">
        <v>7259.78</v>
      </c>
      <c r="N38" s="12" t="n">
        <v>917.63</v>
      </c>
      <c r="O38" s="13" t="n">
        <v>0.1446875271004313</v>
      </c>
    </row>
    <row r="39">
      <c r="A39" s="5" t="n">
        <v>46305</v>
      </c>
      <c r="B39" s="6" t="n">
        <v>0.4219907407407407</v>
      </c>
      <c r="C39" s="50" t="inlineStr">
        <is>
          <t>Ziraat Katılım</t>
        </is>
      </c>
      <c r="D39" s="8" t="n">
        <v>43.9219</v>
      </c>
      <c r="E39" s="8" t="n">
        <v>54.8023</v>
      </c>
      <c r="F39" s="8" t="n">
        <v>10.8804</v>
      </c>
      <c r="G39" s="9" t="n">
        <v>0.2477215238867171</v>
      </c>
      <c r="H39" s="10" t="n">
        <v>49.139</v>
      </c>
      <c r="I39" s="10" t="n">
        <v>61.3719</v>
      </c>
      <c r="J39" s="10" t="n">
        <v>12.2329</v>
      </c>
      <c r="K39" s="11" t="n">
        <v>0.2489448299721199</v>
      </c>
      <c r="L39" s="12" t="n">
        <v>5903.7</v>
      </c>
      <c r="M39" s="12" t="n">
        <v>7444.71</v>
      </c>
      <c r="N39" s="12" t="n">
        <v>1541.01</v>
      </c>
      <c r="O39" s="13" t="n">
        <v>0.2610244422988973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474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</hyperlinks>
  <pageMargins left="0.75" right="0.75" top="1" bottom="1" header="0.5" footer="0.5"/>
  <tableParts count="1">
    <tablePart xmlns:r="http://schemas.openxmlformats.org/officeDocument/2006/relationships" r:id="rId4744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46305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0.4219907407407407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0.04160945366787334</v>
      </c>
      <c r="O5" s="67" t="inlineStr">
        <is>
          <t>Garanti BBVA</t>
        </is>
      </c>
      <c r="P5" s="73" t="n">
        <v>48.066</v>
      </c>
      <c r="Q5" s="73" t="n">
        <v>50.066</v>
      </c>
    </row>
    <row r="6">
      <c r="A6" s="63" t="inlineStr">
        <is>
          <t>Sağlayıcı sayısı</t>
        </is>
      </c>
      <c r="B6" s="64" t="n"/>
      <c r="C6" s="74" t="n">
        <v>38</v>
      </c>
      <c r="D6" s="64" t="n"/>
      <c r="F6" s="64" t="inlineStr">
        <is>
          <t>Ağustos 2026</t>
        </is>
      </c>
      <c r="G6" s="75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6" t="inlineStr">
        <is>
          <t>EURO</t>
        </is>
      </c>
      <c r="M6" s="64" t="n">
        <v>5</v>
      </c>
      <c r="N6" s="72" t="n">
        <v>0.04160939183415685</v>
      </c>
      <c r="O6" s="67" t="inlineStr">
        <is>
          <t>Garanti BBVA</t>
        </is>
      </c>
      <c r="P6" s="73" t="n">
        <v>53.834</v>
      </c>
      <c r="Q6" s="73" t="n">
        <v>56.074</v>
      </c>
    </row>
    <row r="7">
      <c r="A7" s="63" t="inlineStr">
        <is>
          <t>Ürün kaydı</t>
        </is>
      </c>
      <c r="B7" s="64" t="n"/>
      <c r="C7" s="74" t="n">
        <v>108</v>
      </c>
      <c r="D7" s="64" t="n"/>
      <c r="F7" s="64" t="inlineStr">
        <is>
          <t>Ağustos 2026</t>
        </is>
      </c>
      <c r="G7" s="77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8" t="inlineStr">
        <is>
          <t>GRAM ALTIN</t>
        </is>
      </c>
      <c r="M7" s="64" t="n">
        <v>5</v>
      </c>
      <c r="N7" s="72" t="n">
        <v>0.07051094390392784</v>
      </c>
      <c r="O7" s="67" t="inlineStr">
        <is>
          <t>Garanti BBVA</t>
        </is>
      </c>
      <c r="P7" s="73" t="n">
        <v>6421.84</v>
      </c>
      <c r="Q7" s="73" t="n">
        <v>6874.65</v>
      </c>
    </row>
    <row r="8">
      <c r="A8" s="63" t="inlineStr">
        <is>
          <t>Hatalı kayıt</t>
        </is>
      </c>
      <c r="B8" s="64" t="n"/>
      <c r="C8" s="74" t="n">
        <v>2</v>
      </c>
      <c r="D8" s="64" t="n"/>
      <c r="F8" s="64" t="inlineStr">
        <is>
          <t>Ağustos 2026</t>
        </is>
      </c>
      <c r="G8" s="79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4" t="n">
        <v>1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5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7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9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0.03207398218008876</v>
      </c>
      <c r="I15" s="69" t="n">
        <v>0.03207250476464986</v>
      </c>
      <c r="J15" s="70" t="n">
        <v>0.04464282789934673</v>
      </c>
    </row>
    <row r="16">
      <c r="F16" s="64" t="inlineStr">
        <is>
          <t>Ekim 2026</t>
        </is>
      </c>
      <c r="G16" s="75" t="inlineStr">
        <is>
          <t>Akbank</t>
        </is>
      </c>
      <c r="H16" s="68" t="n">
        <v>0.03651617067536249</v>
      </c>
      <c r="I16" s="69" t="n">
        <v>0.03659046154023125</v>
      </c>
      <c r="J16" s="70" t="n">
        <v>0.04994772230815381</v>
      </c>
    </row>
    <row r="17">
      <c r="F17" s="64" t="inlineStr">
        <is>
          <t>Ekim 2026</t>
        </is>
      </c>
      <c r="G17" s="77" t="inlineStr">
        <is>
          <t>Yapıkredi</t>
        </is>
      </c>
      <c r="H17" s="68" t="n">
        <v>0.03127784327029003</v>
      </c>
      <c r="I17" s="69" t="n">
        <v>0.02991515317108728</v>
      </c>
      <c r="J17" s="70" t="n">
        <v>0.04677771565881222</v>
      </c>
    </row>
    <row r="18">
      <c r="F18" s="64" t="inlineStr">
        <is>
          <t>Ekim 2026</t>
        </is>
      </c>
      <c r="G18" s="79" t="inlineStr">
        <is>
          <t>Ziraat Bankası</t>
        </is>
      </c>
      <c r="H18" s="68" t="n">
        <v>0.03242527821073948</v>
      </c>
      <c r="I18" s="69" t="n">
        <v>0.03242573603807195</v>
      </c>
      <c r="J18" s="70" t="n">
        <v>0.05754071313647774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0.03374594412565464</v>
      </c>
      <c r="I19" s="69" t="n">
        <v>0.03386576584227372</v>
      </c>
      <c r="J19" s="70" t="n">
        <v>0.05919240023947538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4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0.03207398218008876</v>
      </c>
      <c r="V4" s="55" t="n">
        <v>0.03651617067536249</v>
      </c>
      <c r="W4" s="55" t="n">
        <v>0.03127784327029003</v>
      </c>
      <c r="X4" s="55" t="n">
        <v>0.03242527821073948</v>
      </c>
      <c r="Y4" s="55" t="n">
        <v>0.03374594412565464</v>
      </c>
      <c r="Z4" s="55" t="n">
        <v>0.03207250476464986</v>
      </c>
      <c r="AA4" s="55" t="n">
        <v>0.03659046154023125</v>
      </c>
      <c r="AB4" s="55" t="n">
        <v>0.02991515317108728</v>
      </c>
      <c r="AC4" s="55" t="n">
        <v>0.03242573603807195</v>
      </c>
      <c r="AD4" s="55" t="n">
        <v>0.03386576584227372</v>
      </c>
      <c r="AE4" s="55" t="n">
        <v>0.04464282789934673</v>
      </c>
      <c r="AF4" s="55" t="n">
        <v>0.04994772230815381</v>
      </c>
      <c r="AG4" s="55" t="n">
        <v>0.04677771565881222</v>
      </c>
      <c r="AH4" s="55" t="n">
        <v>0.05754071313647774</v>
      </c>
      <c r="AI4" s="55" t="n">
        <v>0.05919240023947538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2026-10-10T07:07:58Z</dcterms:created>
  <dcterms:modified xsi:type="dcterms:W3CDTF">2026-10-10T07:07:59Z</dcterms:modified>
</cp:coreProperties>
</file>