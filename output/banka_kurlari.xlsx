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'GRAFIK_VERILERI'!$B$2:$B$43</f>
              <numCache>
                <formatCode>0.00%</formatCode>
                <ptCount val="4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'GRAFIK_VERILERI'!$C$2:$C$43</f>
              <numCache>
                <formatCode>0.00%</formatCode>
                <ptCount val="4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'GRAFIK_VERILERI'!$D$2:$D$43</f>
              <numCache>
                <formatCode>0.00%</formatCode>
                <ptCount val="4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'GRAFIK_VERILERI'!$E$2:$E$43</f>
              <numCache>
                <formatCode>0.00%</formatCode>
                <ptCount val="4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'GRAFIK_VERILERI'!$F$2:$F$43</f>
              <numCache>
                <formatCode>0.00%</formatCode>
                <ptCount val="4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'GRAFIK_VERILERI'!$G$2:$G$43</f>
              <numCache>
                <formatCode>0.00%</formatCode>
                <ptCount val="4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'GRAFIK_VERILERI'!$H$2:$H$43</f>
              <numCache>
                <formatCode>0.00%</formatCode>
                <ptCount val="4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'GRAFIK_VERILERI'!$I$2:$I$43</f>
              <numCache>
                <formatCode>0.00%</formatCode>
                <ptCount val="4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'GRAFIK_VERILERI'!$J$2:$J$43</f>
              <numCache>
                <formatCode>0.00%</formatCode>
                <ptCount val="4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'GRAFIK_VERILERI'!$K$2:$K$43</f>
              <numCache>
                <formatCode>0.00%</formatCode>
                <ptCount val="4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'GRAFIK_VERILERI'!$L$2:$L$43</f>
              <numCache>
                <formatCode>0.00%</formatCode>
                <ptCount val="4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'GRAFIK_VERILERI'!$M$2:$M$43</f>
              <numCache>
                <formatCode>0.00%</formatCode>
                <ptCount val="4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'GRAFIK_VERILERI'!$N$2:$N$43</f>
              <numCache>
                <formatCode>0.00%</formatCode>
                <ptCount val="4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'GRAFIK_VERILERI'!$O$2:$O$43</f>
              <numCache>
                <formatCode>0.00%</formatCode>
                <ptCount val="4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'GRAFIK_VERILERI'!$P$2:$P$43</f>
              <numCache>
                <formatCode>0.00%</formatCode>
                <ptCount val="4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0.03140241907319311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0.03510958541737297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0.02930839245835867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0.03039277876318525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0.03215172697504644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35237382292939"/>
          <min val="0.0265635253238494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0.03140143826326475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0.03519060649839588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0.02813970790742307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0.03039343025529518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0.03226655817892407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4511794129285"/>
          <min val="0.0246433500769183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0.04311846711269473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0.04762146569375388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0.04407754556616111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0.0513160603444779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0.05390596029810268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5157816895844"/>
          <min val="0.034327513037448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'GRAFIK_VERILERI'!$B$2:$B$43</f>
              <numCache>
                <formatCode>0.00%</formatCode>
                <ptCount val="4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6676691645504"/>
          <min val="0.0249830374173373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'GRAFIK_VERILERI'!$G$2:$G$43</f>
              <numCache>
                <formatCode>0.00%</formatCode>
                <ptCount val="4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7261610806805"/>
          <min val="0.0249873951124073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'GRAFIK_VERILERI'!$L$2:$L$43</f>
              <numCache>
                <formatCode>0.00%</formatCode>
                <ptCount val="4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4845961448466"/>
          <min val="0.023023837425120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'GRAFIK_VERILERI'!$C$2:$C$43</f>
              <numCache>
                <formatCode>0.00%</formatCode>
                <ptCount val="4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1811385242773"/>
          <min val="0.0219088671987556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'GRAFIK_VERILERI'!$H$2:$H$43</f>
              <numCache>
                <formatCode>0.00%</formatCode>
                <ptCount val="4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4753245459641"/>
          <min val="0.0218530761112952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'GRAFIK_VERILERI'!$M$2:$M$43</f>
              <numCache>
                <formatCode>0.00%</formatCode>
                <ptCount val="4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6794748319455"/>
          <min val="0.0255093545235968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'GRAFIK_VERILERI'!$D$2:$D$43</f>
              <numCache>
                <formatCode>0.00%</formatCode>
                <ptCount val="4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'GRAFIK_VERILERI'!$I$2:$I$43</f>
              <numCache>
                <formatCode>0.00%</formatCode>
                <ptCount val="4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'GRAFIK_VERILERI'!$N$2:$N$43</f>
              <numCache>
                <formatCode>0.00%</formatCode>
                <ptCount val="4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96176961037092"/>
          <min val="0.01582996403646784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'GRAFIK_VERILERI'!$E$2:$E$43</f>
              <numCache>
                <formatCode>0.00%</formatCode>
                <ptCount val="4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'GRAFIK_VERILERI'!$J$2:$J$43</f>
              <numCache>
                <formatCode>0.00%</formatCode>
                <ptCount val="4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'GRAFIK_VERILERI'!$O$2:$O$43</f>
              <numCache>
                <formatCode>0.00%</formatCode>
                <ptCount val="4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'GRAFIK_VERILERI'!$F$2:$F$43</f>
              <numCache>
                <formatCode>0.00%</formatCode>
                <ptCount val="4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'GRAFIK_VERILERI'!$K$2:$K$43</f>
              <numCache>
                <formatCode>0.00%</formatCode>
                <ptCount val="4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'GRAFIK_VERILERI'!$A$2:$A$43</f>
              <strCache>
                <ptCount val="4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</strCache>
            </strRef>
          </cat>
          <val>
            <numRef>
              <f>'GRAFIK_VERILERI'!$P$2:$P$43</f>
              <numCache>
                <formatCode>0.00%</formatCode>
                <ptCount val="4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92043277762"/>
          <min val="0.00626371938743848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4528" headerRowCount="1">
  <autoFilter ref="A1:N4528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table" Target="/xl/tables/table2.xml" Id="rId4528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46303</v>
      </c>
      <c r="B2" s="6" t="n">
        <v>0.4240972222222222</v>
      </c>
      <c r="C2" s="7" t="inlineStr">
        <is>
          <t>Akbank</t>
        </is>
      </c>
      <c r="D2" s="8" t="n">
        <v>48.419</v>
      </c>
      <c r="E2" s="8" t="n">
        <v>49.769</v>
      </c>
      <c r="F2" s="8" t="n">
        <v>1.35</v>
      </c>
      <c r="G2" s="9" t="n">
        <v>0.02788161672070881</v>
      </c>
      <c r="H2" s="10" t="n">
        <v>54.1662</v>
      </c>
      <c r="I2" s="10" t="n">
        <v>55.6764</v>
      </c>
      <c r="J2" s="10" t="n">
        <v>1.5102</v>
      </c>
      <c r="K2" s="11" t="n">
        <v>0.02788085558890969</v>
      </c>
      <c r="L2" s="12" t="n">
        <v>6355.53</v>
      </c>
      <c r="M2" s="12" t="n">
        <v>6580.81</v>
      </c>
      <c r="N2" s="12" t="n">
        <v>225.28</v>
      </c>
      <c r="O2" s="13" t="n">
        <v>0.03544629637496794</v>
      </c>
    </row>
    <row r="3">
      <c r="A3" s="5" t="n">
        <v>46303</v>
      </c>
      <c r="B3" s="6" t="n">
        <v>0.4240972222222222</v>
      </c>
      <c r="C3" s="14" t="inlineStr">
        <is>
          <t>Albaraka Türk</t>
        </is>
      </c>
      <c r="D3" s="8" t="n">
        <v>48.844</v>
      </c>
      <c r="E3" s="8" t="n">
        <v>49.566</v>
      </c>
      <c r="F3" s="8" t="n">
        <v>0.722</v>
      </c>
      <c r="G3" s="9" t="n">
        <v>0.01478175415608877</v>
      </c>
      <c r="H3" s="10" t="n">
        <v>54.627</v>
      </c>
      <c r="I3" s="10" t="n">
        <v>55.445</v>
      </c>
      <c r="J3" s="10" t="n">
        <v>0.8179999999999999</v>
      </c>
      <c r="K3" s="11" t="n">
        <v>0.01497428011789042</v>
      </c>
      <c r="L3" s="12" t="n">
        <v>6428.84</v>
      </c>
      <c r="M3" s="12" t="n">
        <v>6550.82</v>
      </c>
      <c r="N3" s="12" t="n">
        <v>121.98</v>
      </c>
      <c r="O3" s="13" t="n">
        <v>0.01897387398037593</v>
      </c>
    </row>
    <row r="4">
      <c r="A4" s="5" t="n">
        <v>46303</v>
      </c>
      <c r="B4" s="6" t="n">
        <v>0.4240972222222222</v>
      </c>
      <c r="C4" s="15" t="inlineStr">
        <is>
          <t>Alternatif Bank</t>
        </is>
      </c>
      <c r="D4" s="8" t="n">
        <v>49.003</v>
      </c>
      <c r="E4" s="8" t="n">
        <v>49.288</v>
      </c>
      <c r="F4" s="8" t="n">
        <v>0.285</v>
      </c>
      <c r="G4" s="9" t="n">
        <v>0.005815970450788728</v>
      </c>
      <c r="H4" s="10" t="n">
        <v>54.645</v>
      </c>
      <c r="I4" s="10" t="n">
        <v>55.135</v>
      </c>
      <c r="J4" s="10" t="n">
        <v>0.49</v>
      </c>
      <c r="K4" s="11" t="n">
        <v>0.008966968615609845</v>
      </c>
      <c r="L4" s="12" t="n">
        <v>6481.16</v>
      </c>
      <c r="M4" s="12" t="n">
        <v>6544.85</v>
      </c>
      <c r="N4" s="12" t="n">
        <v>63.69</v>
      </c>
      <c r="O4" s="13" t="n">
        <v>0.009826944559307285</v>
      </c>
    </row>
    <row r="5">
      <c r="A5" s="5" t="n">
        <v>46303</v>
      </c>
      <c r="B5" s="6" t="n">
        <v>0.4240972222222222</v>
      </c>
      <c r="C5" s="16" t="inlineStr">
        <is>
          <t>Altınkaynak</t>
        </is>
      </c>
      <c r="D5" s="8" t="n">
        <v>49.151</v>
      </c>
      <c r="E5" s="8" t="n">
        <v>49.33</v>
      </c>
      <c r="F5" s="8" t="n">
        <v>0.179</v>
      </c>
      <c r="G5" s="9" t="n">
        <v>0.003641838416308926</v>
      </c>
      <c r="H5" s="10" t="n">
        <v>54.889</v>
      </c>
      <c r="I5" s="10" t="n">
        <v>55.199</v>
      </c>
      <c r="J5" s="10" t="n">
        <v>0.31</v>
      </c>
      <c r="K5" s="11" t="n">
        <v>0.005647761846635938</v>
      </c>
      <c r="L5" s="12" t="n">
        <v>6504</v>
      </c>
      <c r="M5" s="12" t="n">
        <v>6635</v>
      </c>
      <c r="N5" s="12" t="n">
        <v>131</v>
      </c>
      <c r="O5" s="13" t="n">
        <v>0.02014145141451415</v>
      </c>
    </row>
    <row r="6">
      <c r="A6" s="5" t="n">
        <v>46303</v>
      </c>
      <c r="B6" s="6" t="n">
        <v>0.4240972222222222</v>
      </c>
      <c r="C6" s="17" t="inlineStr">
        <is>
          <t>Anadolubank</t>
        </is>
      </c>
      <c r="D6" s="8" t="n">
        <v>48.3698</v>
      </c>
      <c r="E6" s="8" t="n">
        <v>49.6471</v>
      </c>
      <c r="F6" s="8" t="n">
        <v>1.2773</v>
      </c>
      <c r="G6" s="9" t="n">
        <v>0.02640697294592907</v>
      </c>
      <c r="H6" s="10" t="n">
        <v>54.1856</v>
      </c>
      <c r="I6" s="10" t="n">
        <v>55.5594</v>
      </c>
      <c r="J6" s="10" t="n">
        <v>1.3738</v>
      </c>
      <c r="K6" s="11" t="n">
        <v>0.02535359948030473</v>
      </c>
      <c r="L6" s="12" t="n">
        <v>6406.05</v>
      </c>
      <c r="M6" s="12" t="n">
        <v>6564.05</v>
      </c>
      <c r="N6" s="12" t="n">
        <v>158</v>
      </c>
      <c r="O6" s="13" t="n">
        <v>0.02466418463795943</v>
      </c>
    </row>
    <row r="7">
      <c r="A7" s="5" t="n">
        <v>46303</v>
      </c>
      <c r="B7" s="6" t="n">
        <v>0.4240972222222222</v>
      </c>
      <c r="C7" s="18" t="inlineStr">
        <is>
          <t>CEPTETEB</t>
        </is>
      </c>
      <c r="D7" s="8" t="n">
        <v>48.201</v>
      </c>
      <c r="E7" s="8" t="n">
        <v>50.159</v>
      </c>
      <c r="F7" s="8" t="n">
        <v>1.958</v>
      </c>
      <c r="G7" s="9" t="n">
        <v>0.04062156386796954</v>
      </c>
      <c r="H7" s="10" t="n">
        <v>53.927</v>
      </c>
      <c r="I7" s="10" t="n">
        <v>56.138</v>
      </c>
      <c r="J7" s="10" t="n">
        <v>2.211</v>
      </c>
      <c r="K7" s="11" t="n">
        <v>0.0409998701948931</v>
      </c>
      <c r="L7" s="12" t="n">
        <v>6401.85</v>
      </c>
      <c r="M7" s="12" t="n">
        <v>6599.85</v>
      </c>
      <c r="N7" s="12" t="n">
        <v>198</v>
      </c>
      <c r="O7" s="13" t="n">
        <v>0.0309285597132079</v>
      </c>
    </row>
    <row r="8">
      <c r="A8" s="5" t="n">
        <v>46303</v>
      </c>
      <c r="B8" s="6" t="n">
        <v>0.4240972222222222</v>
      </c>
      <c r="C8" s="19" t="inlineStr">
        <is>
          <t>Denizbank</t>
        </is>
      </c>
      <c r="D8" s="8" t="n">
        <v>48.4715</v>
      </c>
      <c r="E8" s="8" t="n">
        <v>49.8716</v>
      </c>
      <c r="F8" s="8" t="n">
        <v>1.4001</v>
      </c>
      <c r="G8" s="9" t="n">
        <v>0.02888501490566622</v>
      </c>
      <c r="H8" s="10" t="n">
        <v>54.2429</v>
      </c>
      <c r="I8" s="10" t="n">
        <v>55.8147</v>
      </c>
      <c r="J8" s="10" t="n">
        <v>1.5718</v>
      </c>
      <c r="K8" s="11" t="n">
        <v>0.02897706427938034</v>
      </c>
      <c r="L8" s="12" t="n">
        <v>6426.81</v>
      </c>
      <c r="M8" s="12" t="n">
        <v>6613.48</v>
      </c>
      <c r="N8" s="12" t="n">
        <v>186.67</v>
      </c>
      <c r="O8" s="13" t="n">
        <v>0.02904551402639879</v>
      </c>
    </row>
    <row r="9">
      <c r="A9" s="5" t="n">
        <v>46303</v>
      </c>
      <c r="B9" s="6" t="n">
        <v>0.4240972222222222</v>
      </c>
      <c r="C9" s="20" t="inlineStr">
        <is>
          <t>DestekBank</t>
        </is>
      </c>
      <c r="D9" s="8" t="n">
        <v>49.1033</v>
      </c>
      <c r="E9" s="8" t="n">
        <v>49.2368</v>
      </c>
      <c r="F9" s="8" t="n">
        <v>0.1335</v>
      </c>
      <c r="G9" s="9" t="n">
        <v>0.002718758209733358</v>
      </c>
      <c r="H9" s="10" t="n">
        <v>54.9019</v>
      </c>
      <c r="I9" s="10" t="n">
        <v>55.0866</v>
      </c>
      <c r="J9" s="10" t="n">
        <v>0.1847</v>
      </c>
      <c r="K9" s="11" t="n">
        <v>0.003364182296058971</v>
      </c>
      <c r="L9" s="12" t="n">
        <v>6418.55</v>
      </c>
      <c r="M9" s="12" t="n">
        <v>6550.5</v>
      </c>
      <c r="N9" s="12" t="n">
        <v>131.95</v>
      </c>
      <c r="O9" s="13" t="n">
        <v>0.02055760257379003</v>
      </c>
    </row>
    <row r="10">
      <c r="A10" s="5" t="n">
        <v>46303</v>
      </c>
      <c r="B10" s="6" t="n">
        <v>0.4240972222222222</v>
      </c>
      <c r="C10" s="21" t="inlineStr">
        <is>
          <t>Dünya Katılım</t>
        </is>
      </c>
      <c r="D10" s="8" t="n">
        <v>49.1251</v>
      </c>
      <c r="E10" s="8" t="n">
        <v>49.217</v>
      </c>
      <c r="F10" s="8" t="n">
        <v>0.0919</v>
      </c>
      <c r="G10" s="9" t="n">
        <v>0.001870734105375867</v>
      </c>
      <c r="H10" s="10" t="n">
        <v>54.8799</v>
      </c>
      <c r="I10" s="10" t="n">
        <v>55.0809</v>
      </c>
      <c r="J10" s="10" t="n">
        <v>0.201</v>
      </c>
      <c r="K10" s="11" t="n">
        <v>0.003662543116878858</v>
      </c>
      <c r="L10" s="12" t="n">
        <v>6470.72</v>
      </c>
      <c r="M10" s="12" t="n">
        <v>6504.62</v>
      </c>
      <c r="N10" s="12" t="n">
        <v>33.9</v>
      </c>
      <c r="O10" s="13" t="n">
        <v>0.00523898422432125</v>
      </c>
    </row>
    <row r="11">
      <c r="A11" s="5" t="n">
        <v>46303</v>
      </c>
      <c r="B11" s="6" t="n">
        <v>0.4240972222222222</v>
      </c>
      <c r="C11" s="22" t="inlineStr">
        <is>
          <t>Emlak Katılım</t>
        </is>
      </c>
      <c r="D11" s="8" t="n">
        <v>48.836</v>
      </c>
      <c r="E11" s="8" t="n">
        <v>50.0965</v>
      </c>
      <c r="F11" s="8" t="n">
        <v>1.2605</v>
      </c>
      <c r="G11" s="9" t="n">
        <v>0.02581087722172168</v>
      </c>
      <c r="H11" s="10" t="n">
        <v>54.497</v>
      </c>
      <c r="I11" s="10" t="n">
        <v>55.7541</v>
      </c>
      <c r="J11" s="10" t="n">
        <v>1.2571</v>
      </c>
      <c r="K11" s="11" t="n">
        <v>0.02306732480687011</v>
      </c>
      <c r="L11" s="12" t="n">
        <v>6454.42</v>
      </c>
      <c r="M11" s="12" t="n">
        <v>6518.85</v>
      </c>
      <c r="N11" s="12" t="n">
        <v>64.43000000000001</v>
      </c>
      <c r="O11" s="13" t="n">
        <v>0.009982306698355545</v>
      </c>
    </row>
    <row r="12">
      <c r="A12" s="5" t="n">
        <v>46303</v>
      </c>
      <c r="B12" s="6" t="n">
        <v>0.4240972222222222</v>
      </c>
      <c r="C12" s="23" t="inlineStr">
        <is>
          <t>Enpara</t>
        </is>
      </c>
      <c r="D12" s="8" t="n">
        <v>48.665</v>
      </c>
      <c r="E12" s="8" t="n">
        <v>49.465</v>
      </c>
      <c r="F12" s="8" t="n">
        <v>0.8</v>
      </c>
      <c r="G12" s="9" t="n">
        <v>0.01643891914106647</v>
      </c>
      <c r="H12" s="10" t="n">
        <v>54.3677</v>
      </c>
      <c r="I12" s="10" t="n">
        <v>55.377</v>
      </c>
      <c r="J12" s="10" t="n">
        <v>1.0093</v>
      </c>
      <c r="K12" s="11" t="n">
        <v>0.01856433139529537</v>
      </c>
      <c r="L12" s="12" t="n">
        <v>6414.09</v>
      </c>
      <c r="M12" s="12" t="n">
        <v>6541.77</v>
      </c>
      <c r="N12" s="12" t="n">
        <v>127.68</v>
      </c>
      <c r="O12" s="13" t="n">
        <v>0.01990617531091706</v>
      </c>
    </row>
    <row r="13">
      <c r="A13" s="5" t="n">
        <v>46303</v>
      </c>
      <c r="B13" s="6" t="n">
        <v>0.4240972222222222</v>
      </c>
      <c r="C13" s="24" t="inlineStr">
        <is>
          <t>Fibabanka</t>
        </is>
      </c>
      <c r="D13" s="8" t="n">
        <v>48.9151</v>
      </c>
      <c r="E13" s="8" t="n">
        <v>49.5228</v>
      </c>
      <c r="F13" s="8" t="n">
        <v>0.6077</v>
      </c>
      <c r="G13" s="9" t="n">
        <v>0.01242356654693541</v>
      </c>
      <c r="H13" s="10" t="n">
        <v>54.7003</v>
      </c>
      <c r="I13" s="10" t="n">
        <v>55.3636</v>
      </c>
      <c r="J13" s="10" t="n">
        <v>0.6633</v>
      </c>
      <c r="K13" s="11" t="n">
        <v>0.01212607609099036</v>
      </c>
      <c r="L13" s="12" t="n">
        <v>6488.5</v>
      </c>
      <c r="M13" s="12" t="n">
        <v>6542.83</v>
      </c>
      <c r="N13" s="12" t="n">
        <v>54.33</v>
      </c>
      <c r="O13" s="13" t="n">
        <v>0.008373275795638437</v>
      </c>
    </row>
    <row r="14">
      <c r="A14" s="5" t="n">
        <v>46303</v>
      </c>
      <c r="B14" s="6" t="n">
        <v>0.4240972222222222</v>
      </c>
      <c r="C14" s="25" t="inlineStr">
        <is>
          <t>Garanti BBVA</t>
        </is>
      </c>
      <c r="D14" s="8" t="n">
        <v>48.371</v>
      </c>
      <c r="E14" s="8" t="n">
        <v>49.721</v>
      </c>
      <c r="F14" s="8" t="n">
        <v>1.35</v>
      </c>
      <c r="G14" s="9" t="n">
        <v>0.02790928448863989</v>
      </c>
      <c r="H14" s="10" t="n">
        <v>54.095</v>
      </c>
      <c r="I14" s="10" t="n">
        <v>55.605</v>
      </c>
      <c r="J14" s="10" t="n">
        <v>1.51</v>
      </c>
      <c r="K14" s="11" t="n">
        <v>0.02791385525464461</v>
      </c>
      <c r="L14" s="12" t="n">
        <v>6420.04</v>
      </c>
      <c r="M14" s="12" t="n">
        <v>6618.87</v>
      </c>
      <c r="N14" s="12" t="n">
        <v>198.83</v>
      </c>
      <c r="O14" s="13" t="n">
        <v>0.0309702120236011</v>
      </c>
    </row>
    <row r="15">
      <c r="A15" s="5" t="n">
        <v>46303</v>
      </c>
      <c r="B15" s="6" t="n">
        <v>0.4240972222222222</v>
      </c>
      <c r="C15" s="26" t="inlineStr">
        <is>
          <t>Getirfinans</t>
        </is>
      </c>
      <c r="D15" s="8" t="n">
        <v>48.9151</v>
      </c>
      <c r="E15" s="8" t="n">
        <v>49.5227</v>
      </c>
      <c r="F15" s="8" t="n">
        <v>0.6076</v>
      </c>
      <c r="G15" s="9" t="n">
        <v>0.01242152218844488</v>
      </c>
      <c r="H15" s="10" t="n">
        <v>54.7355</v>
      </c>
      <c r="I15" s="10" t="n">
        <v>55.3989</v>
      </c>
      <c r="J15" s="10" t="n">
        <v>0.6634</v>
      </c>
      <c r="K15" s="11" t="n">
        <v>0.0121201048679559</v>
      </c>
      <c r="L15" s="12" t="n">
        <v>6491.19</v>
      </c>
      <c r="M15" s="12" t="n">
        <v>6545.5</v>
      </c>
      <c r="N15" s="12" t="n">
        <v>54.31</v>
      </c>
      <c r="O15" s="13" t="n">
        <v>0.008366724745385669</v>
      </c>
    </row>
    <row r="16">
      <c r="A16" s="5" t="n">
        <v>46303</v>
      </c>
      <c r="B16" s="6" t="n">
        <v>0.4240972222222222</v>
      </c>
      <c r="C16" s="27" t="inlineStr">
        <is>
          <t>Halkbank</t>
        </is>
      </c>
      <c r="D16" s="8" t="n">
        <v>48.7848</v>
      </c>
      <c r="E16" s="8" t="n">
        <v>49.7748</v>
      </c>
      <c r="F16" s="8" t="n">
        <v>0.99</v>
      </c>
      <c r="G16" s="9" t="n">
        <v>0.02029320608058248</v>
      </c>
      <c r="H16" s="10" t="n">
        <v>54.5634</v>
      </c>
      <c r="I16" s="10" t="n">
        <v>55.6706</v>
      </c>
      <c r="J16" s="10" t="n">
        <v>1.1072</v>
      </c>
      <c r="K16" s="11" t="n">
        <v>0.02029199060175869</v>
      </c>
      <c r="L16" s="12" t="n">
        <v>6426.57</v>
      </c>
      <c r="M16" s="12" t="n">
        <v>6623.28</v>
      </c>
      <c r="N16" s="12" t="n">
        <v>196.71</v>
      </c>
      <c r="O16" s="13" t="n">
        <v>0.03060886289264724</v>
      </c>
    </row>
    <row r="17">
      <c r="A17" s="5" t="n">
        <v>46303</v>
      </c>
      <c r="B17" s="6" t="n">
        <v>0.4240972222222222</v>
      </c>
      <c r="C17" s="28" t="inlineStr">
        <is>
          <t>Harem</t>
        </is>
      </c>
      <c r="D17" s="8" t="n">
        <v>49.184</v>
      </c>
      <c r="E17" s="8" t="n">
        <v>49.252</v>
      </c>
      <c r="F17" s="8" t="n">
        <v>0.068</v>
      </c>
      <c r="G17" s="9" t="n">
        <v>0.0013825634352635</v>
      </c>
      <c r="H17" s="10" t="n">
        <v>54.923</v>
      </c>
      <c r="I17" s="10" t="n">
        <v>55.09</v>
      </c>
      <c r="J17" s="10" t="n">
        <v>0.167</v>
      </c>
      <c r="K17" s="11" t="n">
        <v>0.003040620505070735</v>
      </c>
      <c r="L17" s="12" t="n">
        <v>6508.87</v>
      </c>
      <c r="M17" s="12" t="n">
        <v>6586.55</v>
      </c>
      <c r="N17" s="12" t="n">
        <v>77.68000000000001</v>
      </c>
      <c r="O17" s="13" t="n">
        <v>0.01193448325131705</v>
      </c>
    </row>
    <row r="18">
      <c r="A18" s="5" t="n">
        <v>46303</v>
      </c>
      <c r="B18" s="6" t="n">
        <v>0.4240972222222222</v>
      </c>
      <c r="C18" s="29" t="inlineStr">
        <is>
          <t>Hayat Finans</t>
        </is>
      </c>
      <c r="D18" s="8" t="n">
        <v>49.1344</v>
      </c>
      <c r="E18" s="8" t="n">
        <v>49.2836</v>
      </c>
      <c r="F18" s="8" t="n">
        <v>0.1492</v>
      </c>
      <c r="G18" s="9" t="n">
        <v>0.003036569083981894</v>
      </c>
      <c r="H18" s="10" t="n">
        <v>54.951</v>
      </c>
      <c r="I18" s="10" t="n">
        <v>55.1196</v>
      </c>
      <c r="J18" s="10" t="n">
        <v>0.1686</v>
      </c>
      <c r="K18" s="11" t="n">
        <v>0.003068188022056014</v>
      </c>
      <c r="L18" s="12" t="n">
        <v>6483.09</v>
      </c>
      <c r="M18" s="12" t="n">
        <v>6529</v>
      </c>
      <c r="N18" s="12" t="n">
        <v>45.91</v>
      </c>
      <c r="O18" s="13" t="n">
        <v>0.007081499716955958</v>
      </c>
    </row>
    <row r="19">
      <c r="A19" s="5" t="n">
        <v>46303</v>
      </c>
      <c r="B19" s="6" t="n">
        <v>0.4240972222222222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6426.41</v>
      </c>
      <c r="M19" s="12" t="n">
        <v>6615.82</v>
      </c>
      <c r="N19" s="12" t="n">
        <v>189.41</v>
      </c>
      <c r="O19" s="13" t="n">
        <v>0.02947368748648157</v>
      </c>
    </row>
    <row r="20">
      <c r="A20" s="5" t="n">
        <v>46303</v>
      </c>
      <c r="B20" s="6" t="n">
        <v>0.4240972222222222</v>
      </c>
      <c r="C20" s="31" t="inlineStr">
        <is>
          <t>HSBC</t>
        </is>
      </c>
      <c r="D20" s="8" t="n">
        <v>48.7216</v>
      </c>
      <c r="E20" s="8" t="n">
        <v>49.6083</v>
      </c>
      <c r="F20" s="8" t="n">
        <v>0.8867</v>
      </c>
      <c r="G20" s="9" t="n">
        <v>0.01819932021936882</v>
      </c>
      <c r="H20" s="10" t="n">
        <v>54.4829</v>
      </c>
      <c r="I20" s="10" t="n">
        <v>55.5385</v>
      </c>
      <c r="J20" s="10" t="n">
        <v>1.0556</v>
      </c>
      <c r="K20" s="11" t="n">
        <v>0.01937488643225672</v>
      </c>
      <c r="L20" s="12" t="n">
        <v>6424.1</v>
      </c>
      <c r="M20" s="12" t="n">
        <v>6869.62</v>
      </c>
      <c r="N20" s="12" t="n">
        <v>445.52</v>
      </c>
      <c r="O20" s="13" t="n">
        <v>0.06935134882707306</v>
      </c>
    </row>
    <row r="21">
      <c r="A21" s="5" t="n">
        <v>46303</v>
      </c>
      <c r="B21" s="6" t="n">
        <v>0.4240972222222222</v>
      </c>
      <c r="C21" s="32" t="inlineStr">
        <is>
          <t>ING Bank</t>
        </is>
      </c>
      <c r="D21" s="8" t="n">
        <v>48.6688</v>
      </c>
      <c r="E21" s="8" t="n">
        <v>49.6725</v>
      </c>
      <c r="F21" s="8" t="n">
        <v>1.0037</v>
      </c>
      <c r="G21" s="9" t="n">
        <v>0.02062306857781577</v>
      </c>
      <c r="H21" s="10" t="n">
        <v>54.4832</v>
      </c>
      <c r="I21" s="10" t="n">
        <v>55.4898</v>
      </c>
      <c r="J21" s="10" t="n">
        <v>1.0066</v>
      </c>
      <c r="K21" s="11" t="n">
        <v>0.01847541994596499</v>
      </c>
      <c r="L21" s="12" t="n">
        <v>6364.98</v>
      </c>
      <c r="M21" s="12" t="n">
        <v>6666.99</v>
      </c>
      <c r="N21" s="12" t="n">
        <v>302.01</v>
      </c>
      <c r="O21" s="13" t="n">
        <v>0.04744869583250851</v>
      </c>
    </row>
    <row r="22">
      <c r="A22" s="5" t="n">
        <v>46303</v>
      </c>
      <c r="B22" s="6" t="n">
        <v>0.4240972222222222</v>
      </c>
      <c r="C22" s="33" t="inlineStr">
        <is>
          <t>İş Bankası</t>
        </is>
      </c>
      <c r="D22" s="8" t="n">
        <v>48.5843</v>
      </c>
      <c r="E22" s="8" t="n">
        <v>49.7631</v>
      </c>
      <c r="F22" s="8" t="n">
        <v>1.1788</v>
      </c>
      <c r="G22" s="9" t="n">
        <v>0.02426298207445615</v>
      </c>
      <c r="H22" s="10" t="n">
        <v>54.3381</v>
      </c>
      <c r="I22" s="10" t="n">
        <v>55.6639</v>
      </c>
      <c r="J22" s="10" t="n">
        <v>1.3258</v>
      </c>
      <c r="K22" s="11" t="n">
        <v>0.02439908646051297</v>
      </c>
      <c r="L22" s="12" t="n">
        <v>6415.08</v>
      </c>
      <c r="M22" s="12" t="n">
        <v>6591.46</v>
      </c>
      <c r="N22" s="12" t="n">
        <v>176.38</v>
      </c>
      <c r="O22" s="13" t="n">
        <v>0.02749459087026195</v>
      </c>
    </row>
    <row r="23">
      <c r="A23" s="5" t="n">
        <v>46303</v>
      </c>
      <c r="B23" s="6" t="n">
        <v>0.4240972222222222</v>
      </c>
      <c r="C23" s="34" t="inlineStr">
        <is>
          <t>Kapalıçarşı</t>
        </is>
      </c>
      <c r="D23" s="8" t="n">
        <v>49.22</v>
      </c>
      <c r="E23" s="8" t="n">
        <v>49.23</v>
      </c>
      <c r="F23" s="8" t="n">
        <v>0.01</v>
      </c>
      <c r="G23" s="9" t="n">
        <v>0.0002031694433157253</v>
      </c>
      <c r="H23" s="10" t="n">
        <v>54.95</v>
      </c>
      <c r="I23" s="10" t="n">
        <v>55</v>
      </c>
      <c r="J23" s="10" t="n">
        <v>0.05</v>
      </c>
      <c r="K23" s="11" t="n">
        <v>0.0009099181073703366</v>
      </c>
      <c r="L23" s="12" t="n">
        <v>6504.96</v>
      </c>
      <c r="M23" s="12" t="n">
        <v>6516.17</v>
      </c>
      <c r="N23" s="12" t="n">
        <v>11.21</v>
      </c>
      <c r="O23" s="13" t="n">
        <v>0.001723300373868556</v>
      </c>
    </row>
    <row r="24">
      <c r="A24" s="5" t="n">
        <v>46303</v>
      </c>
      <c r="B24" s="6" t="n">
        <v>0.4240972222222222</v>
      </c>
      <c r="C24" s="35" t="inlineStr">
        <is>
          <t>Kuveyt Türk</t>
        </is>
      </c>
      <c r="D24" s="8" t="n">
        <v>48.6786</v>
      </c>
      <c r="E24" s="8" t="n">
        <v>49.6635</v>
      </c>
      <c r="F24" s="8" t="n">
        <v>0.9849</v>
      </c>
      <c r="G24" s="9" t="n">
        <v>0.02023271006150546</v>
      </c>
      <c r="H24" s="10" t="n">
        <v>54.5412</v>
      </c>
      <c r="I24" s="10" t="n">
        <v>55.6438</v>
      </c>
      <c r="J24" s="10" t="n">
        <v>1.1026</v>
      </c>
      <c r="K24" s="11" t="n">
        <v>0.02021591017432693</v>
      </c>
      <c r="L24" s="12" t="n">
        <v>6403.94</v>
      </c>
      <c r="M24" s="12" t="n">
        <v>6573.1</v>
      </c>
      <c r="N24" s="12" t="n">
        <v>169.16</v>
      </c>
      <c r="O24" s="13" t="n">
        <v>0.02641498827284453</v>
      </c>
    </row>
    <row r="25">
      <c r="A25" s="5" t="n">
        <v>46303</v>
      </c>
      <c r="B25" s="6" t="n">
        <v>0.4240972222222222</v>
      </c>
      <c r="C25" s="36" t="inlineStr">
        <is>
          <t>Merkez Bankası</t>
        </is>
      </c>
      <c r="D25" s="8" t="n">
        <v>49.1091</v>
      </c>
      <c r="E25" s="8" t="n">
        <v>49.1976</v>
      </c>
      <c r="F25" s="8" t="n">
        <v>0.0885</v>
      </c>
      <c r="G25" s="9" t="n">
        <v>0.001802109995907072</v>
      </c>
      <c r="H25" s="10" t="n">
        <v>54.9907</v>
      </c>
      <c r="I25" s="10" t="n">
        <v>55.0898</v>
      </c>
      <c r="J25" s="10" t="n">
        <v>0.09909999999999999</v>
      </c>
      <c r="K25" s="11" t="n">
        <v>0.001802122904418383</v>
      </c>
      <c r="L25" s="12" t="n"/>
      <c r="M25" s="12" t="n"/>
      <c r="N25" s="12" t="n"/>
      <c r="O25" s="13" t="n"/>
    </row>
    <row r="26">
      <c r="A26" s="5" t="n">
        <v>46303</v>
      </c>
      <c r="B26" s="6" t="n">
        <v>0.4240972222222222</v>
      </c>
      <c r="C26" s="37" t="inlineStr">
        <is>
          <t>Misyon Bank</t>
        </is>
      </c>
      <c r="D26" s="8" t="n">
        <v>49.1234</v>
      </c>
      <c r="E26" s="8" t="n">
        <v>49.2138</v>
      </c>
      <c r="F26" s="8" t="n">
        <v>0.09039999999999999</v>
      </c>
      <c r="G26" s="9" t="n">
        <v>0.001840263499676325</v>
      </c>
      <c r="H26" s="10" t="n">
        <v>54.8734</v>
      </c>
      <c r="I26" s="10" t="n">
        <v>55.0357</v>
      </c>
      <c r="J26" s="10" t="n">
        <v>0.1623</v>
      </c>
      <c r="K26" s="11" t="n">
        <v>0.002957717218178571</v>
      </c>
      <c r="L26" s="12" t="n">
        <v>6466.71</v>
      </c>
      <c r="M26" s="12" t="n">
        <v>6502.18</v>
      </c>
      <c r="N26" s="12" t="n">
        <v>35.47</v>
      </c>
      <c r="O26" s="13" t="n">
        <v>0.005485014791137998</v>
      </c>
    </row>
    <row r="27">
      <c r="A27" s="5" t="n">
        <v>46303</v>
      </c>
      <c r="B27" s="6" t="n">
        <v>0.4240972222222222</v>
      </c>
      <c r="C27" s="38" t="inlineStr">
        <is>
          <t>Odacı</t>
        </is>
      </c>
      <c r="D27" s="8" t="n">
        <v>49.153</v>
      </c>
      <c r="E27" s="8" t="n">
        <v>49.314</v>
      </c>
      <c r="F27" s="8" t="n">
        <v>0.161</v>
      </c>
      <c r="G27" s="9" t="n">
        <v>0.003275486745468232</v>
      </c>
      <c r="H27" s="10" t="n">
        <v>54.915</v>
      </c>
      <c r="I27" s="10" t="n">
        <v>55.129</v>
      </c>
      <c r="J27" s="10" t="n">
        <v>0.214</v>
      </c>
      <c r="K27" s="11" t="n">
        <v>0.003896931621597014</v>
      </c>
      <c r="L27" s="12" t="n">
        <v>6533</v>
      </c>
      <c r="M27" s="12" t="n">
        <v>6576</v>
      </c>
      <c r="N27" s="12" t="n">
        <v>43</v>
      </c>
      <c r="O27" s="13" t="n">
        <v>0.006581968467778968</v>
      </c>
    </row>
    <row r="28">
      <c r="A28" s="5" t="n">
        <v>46303</v>
      </c>
      <c r="B28" s="6" t="n">
        <v>0.4240972222222222</v>
      </c>
      <c r="C28" s="39" t="inlineStr">
        <is>
          <t>Odeabank</t>
        </is>
      </c>
      <c r="D28" s="8" t="n">
        <v>48.6805</v>
      </c>
      <c r="E28" s="8" t="n">
        <v>49.6805</v>
      </c>
      <c r="F28" s="8" t="n">
        <v>1</v>
      </c>
      <c r="G28" s="9" t="n">
        <v>0.02054210618214685</v>
      </c>
      <c r="H28" s="10" t="n">
        <v>54.45</v>
      </c>
      <c r="I28" s="10" t="n">
        <v>55.54</v>
      </c>
      <c r="J28" s="10" t="n">
        <v>1.09</v>
      </c>
      <c r="K28" s="11" t="n">
        <v>0.02001836547291093</v>
      </c>
      <c r="L28" s="12" t="n">
        <v>6464.54</v>
      </c>
      <c r="M28" s="12" t="n">
        <v>6564.54</v>
      </c>
      <c r="N28" s="12" t="n">
        <v>100</v>
      </c>
      <c r="O28" s="13" t="n">
        <v>0.01546900475517206</v>
      </c>
    </row>
    <row r="29">
      <c r="A29" s="5" t="n">
        <v>46303</v>
      </c>
      <c r="B29" s="6" t="n">
        <v>0.4240972222222222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6426.51</v>
      </c>
      <c r="M29" s="12" t="n">
        <v>6602.71</v>
      </c>
      <c r="N29" s="12" t="n">
        <v>176.2</v>
      </c>
      <c r="O29" s="13" t="n">
        <v>0.02741768082520684</v>
      </c>
    </row>
    <row r="30">
      <c r="A30" s="5" t="n">
        <v>46303</v>
      </c>
      <c r="B30" s="6" t="n">
        <v>0.4240972222222222</v>
      </c>
      <c r="C30" s="41" t="inlineStr">
        <is>
          <t>QNB Finansbank</t>
        </is>
      </c>
      <c r="D30" s="8" t="n">
        <v>48.455</v>
      </c>
      <c r="E30" s="8" t="n">
        <v>49.975</v>
      </c>
      <c r="F30" s="8" t="n">
        <v>1.52</v>
      </c>
      <c r="G30" s="9" t="n">
        <v>0.03136931173253534</v>
      </c>
      <c r="H30" s="10" t="n">
        <v>54.0831</v>
      </c>
      <c r="I30" s="10" t="n">
        <v>56.0244</v>
      </c>
      <c r="J30" s="10" t="n">
        <v>1.9413</v>
      </c>
      <c r="K30" s="11" t="n">
        <v>0.03589476194966635</v>
      </c>
      <c r="L30" s="12" t="n">
        <v>6380.06</v>
      </c>
      <c r="M30" s="12" t="n">
        <v>6608.82</v>
      </c>
      <c r="N30" s="12" t="n">
        <v>228.76</v>
      </c>
      <c r="O30" s="13" t="n">
        <v>0.03585546217433692</v>
      </c>
    </row>
    <row r="31">
      <c r="A31" s="5" t="n">
        <v>46303</v>
      </c>
      <c r="B31" s="6" t="n">
        <v>0.4240972222222222</v>
      </c>
      <c r="C31" s="42" t="inlineStr">
        <is>
          <t>TOM Bank Hadi</t>
        </is>
      </c>
      <c r="D31" s="8" t="n">
        <v>49.0165</v>
      </c>
      <c r="E31" s="8" t="n">
        <v>49.3118</v>
      </c>
      <c r="F31" s="8" t="n">
        <v>0.2953</v>
      </c>
      <c r="G31" s="9" t="n">
        <v>0.006024501953423847</v>
      </c>
      <c r="H31" s="10" t="n">
        <v>54.8336</v>
      </c>
      <c r="I31" s="10" t="n">
        <v>55.164</v>
      </c>
      <c r="J31" s="10" t="n">
        <v>0.3304</v>
      </c>
      <c r="K31" s="11" t="n">
        <v>0.006025502611537451</v>
      </c>
      <c r="L31" s="12" t="n">
        <v>6467.54</v>
      </c>
      <c r="M31" s="12" t="n">
        <v>6525.98</v>
      </c>
      <c r="N31" s="12" t="n">
        <v>58.44</v>
      </c>
      <c r="O31" s="13" t="n">
        <v>0.009035893090726922</v>
      </c>
    </row>
    <row r="32">
      <c r="A32" s="5" t="n">
        <v>46303</v>
      </c>
      <c r="B32" s="6" t="n">
        <v>0.4240972222222222</v>
      </c>
      <c r="C32" s="43" t="inlineStr">
        <is>
          <t>Türkiye Finans</t>
        </is>
      </c>
      <c r="D32" s="8" t="n">
        <v>48.7684</v>
      </c>
      <c r="E32" s="8" t="n">
        <v>49.5717</v>
      </c>
      <c r="F32" s="8" t="n">
        <v>0.8033</v>
      </c>
      <c r="G32" s="9" t="n">
        <v>0.01647173169511405</v>
      </c>
      <c r="H32" s="10" t="n">
        <v>54.5567</v>
      </c>
      <c r="I32" s="10" t="n">
        <v>55.4095</v>
      </c>
      <c r="J32" s="10" t="n">
        <v>0.8528</v>
      </c>
      <c r="K32" s="11" t="n">
        <v>0.01563144398396531</v>
      </c>
      <c r="L32" s="12" t="n">
        <v>6420.01</v>
      </c>
      <c r="M32" s="12" t="n">
        <v>6616.56</v>
      </c>
      <c r="N32" s="12" t="n">
        <v>196.55</v>
      </c>
      <c r="O32" s="13" t="n">
        <v>0.03061521711025372</v>
      </c>
    </row>
    <row r="33">
      <c r="A33" s="5" t="n">
        <v>46303</v>
      </c>
      <c r="B33" s="6" t="n">
        <v>0.4240972222222222</v>
      </c>
      <c r="C33" s="44" t="inlineStr">
        <is>
          <t>Vakıf Katılım</t>
        </is>
      </c>
      <c r="D33" s="8" t="n">
        <v>49.0693</v>
      </c>
      <c r="E33" s="8" t="n">
        <v>49.2763</v>
      </c>
      <c r="F33" s="8" t="n">
        <v>0.207</v>
      </c>
      <c r="G33" s="9" t="n">
        <v>0.004218523598257974</v>
      </c>
      <c r="H33" s="10" t="n">
        <v>54.8815</v>
      </c>
      <c r="I33" s="10" t="n">
        <v>55.1027</v>
      </c>
      <c r="J33" s="10" t="n">
        <v>0.2212</v>
      </c>
      <c r="K33" s="11" t="n">
        <v>0.004030502081757969</v>
      </c>
      <c r="L33" s="12" t="n">
        <v>6461.51</v>
      </c>
      <c r="M33" s="12" t="n">
        <v>6513.41</v>
      </c>
      <c r="N33" s="12" t="n">
        <v>51.9</v>
      </c>
      <c r="O33" s="13" t="n">
        <v>0.008032178236975569</v>
      </c>
    </row>
    <row r="34">
      <c r="A34" s="5" t="n">
        <v>46303</v>
      </c>
      <c r="B34" s="6" t="n">
        <v>0.4240972222222222</v>
      </c>
      <c r="C34" s="45" t="inlineStr">
        <is>
          <t>Vakıfbank</t>
        </is>
      </c>
      <c r="D34" s="8" t="n">
        <v>48.7984</v>
      </c>
      <c r="E34" s="8" t="n">
        <v>49.7821</v>
      </c>
      <c r="F34" s="8" t="n">
        <v>0.9837</v>
      </c>
      <c r="G34" s="9" t="n">
        <v>0.02015844781796124</v>
      </c>
      <c r="H34" s="10" t="n">
        <v>54.5683</v>
      </c>
      <c r="I34" s="10" t="n">
        <v>55.6686</v>
      </c>
      <c r="J34" s="10" t="n">
        <v>1.1003</v>
      </c>
      <c r="K34" s="11" t="n">
        <v>0.02016372142800857</v>
      </c>
      <c r="L34" s="12" t="n">
        <v>6425.28</v>
      </c>
      <c r="M34" s="12" t="n">
        <v>6567.88</v>
      </c>
      <c r="N34" s="12" t="n">
        <v>142.6</v>
      </c>
      <c r="O34" s="13" t="n">
        <v>0.02219358533791524</v>
      </c>
    </row>
    <row r="35">
      <c r="A35" s="5" t="n">
        <v>46303</v>
      </c>
      <c r="B35" s="6" t="n">
        <v>0.4240972222222222</v>
      </c>
      <c r="C35" s="46" t="inlineStr">
        <is>
          <t>Venüs</t>
        </is>
      </c>
      <c r="D35" s="8" t="n">
        <v>49.19</v>
      </c>
      <c r="E35" s="8" t="n">
        <v>49.24</v>
      </c>
      <c r="F35" s="8" t="n">
        <v>0.05</v>
      </c>
      <c r="G35" s="9" t="n">
        <v>0.001016466761536898</v>
      </c>
      <c r="H35" s="10" t="n">
        <v>54.935</v>
      </c>
      <c r="I35" s="10" t="n">
        <v>55.065</v>
      </c>
      <c r="J35" s="10" t="n">
        <v>0.13</v>
      </c>
      <c r="K35" s="11" t="n">
        <v>0.002366433057249477</v>
      </c>
      <c r="L35" s="12" t="n"/>
      <c r="M35" s="12" t="n"/>
      <c r="N35" s="12" t="n"/>
      <c r="O35" s="13" t="n"/>
    </row>
    <row r="36">
      <c r="A36" s="5" t="n">
        <v>46303</v>
      </c>
      <c r="B36" s="6" t="n">
        <v>0.4240972222222222</v>
      </c>
      <c r="C36" s="47" t="inlineStr">
        <is>
          <t>Yapıkredi</t>
        </is>
      </c>
      <c r="D36" s="8" t="n">
        <v>48.67</v>
      </c>
      <c r="E36" s="8" t="n">
        <v>49.67</v>
      </c>
      <c r="F36" s="8" t="n">
        <v>1</v>
      </c>
      <c r="G36" s="9" t="n">
        <v>0.02054653790836244</v>
      </c>
      <c r="H36" s="10" t="n">
        <v>54.42</v>
      </c>
      <c r="I36" s="10" t="n">
        <v>55.54</v>
      </c>
      <c r="J36" s="10" t="n">
        <v>1.12</v>
      </c>
      <c r="K36" s="11" t="n">
        <v>0.02058066887173833</v>
      </c>
      <c r="L36" s="12" t="n">
        <v>6412.01</v>
      </c>
      <c r="M36" s="12" t="n">
        <v>6612.68</v>
      </c>
      <c r="N36" s="12" t="n">
        <v>200.67</v>
      </c>
      <c r="O36" s="13" t="n">
        <v>0.03129595867754417</v>
      </c>
    </row>
    <row r="37">
      <c r="A37" s="5" t="n">
        <v>46303</v>
      </c>
      <c r="B37" s="6" t="n">
        <v>0.4240972222222222</v>
      </c>
      <c r="C37" s="48" t="inlineStr">
        <is>
          <t>Ziraat Bankası</t>
        </is>
      </c>
      <c r="D37" s="8" t="n">
        <v>48.8006</v>
      </c>
      <c r="E37" s="8" t="n">
        <v>49.7879</v>
      </c>
      <c r="F37" s="8" t="n">
        <v>0.9873</v>
      </c>
      <c r="G37" s="9" t="n">
        <v>0.02023130863145125</v>
      </c>
      <c r="H37" s="10" t="n">
        <v>54.6138</v>
      </c>
      <c r="I37" s="10" t="n">
        <v>55.7187</v>
      </c>
      <c r="J37" s="10" t="n">
        <v>1.1049</v>
      </c>
      <c r="K37" s="11" t="n">
        <v>0.02023115036858816</v>
      </c>
      <c r="L37" s="12" t="n">
        <v>6460.8</v>
      </c>
      <c r="M37" s="12" t="n">
        <v>6591.26</v>
      </c>
      <c r="N37" s="12" t="n">
        <v>130.46</v>
      </c>
      <c r="O37" s="13" t="n">
        <v>0.02019254581475978</v>
      </c>
    </row>
    <row r="38">
      <c r="A38" s="5" t="n">
        <v>46303</v>
      </c>
      <c r="B38" s="6" t="n">
        <v>0.4240972222222222</v>
      </c>
      <c r="C38" s="49" t="inlineStr">
        <is>
          <t>Ziraat Dinamik</t>
        </is>
      </c>
      <c r="D38" s="8" t="n">
        <v>48.8494</v>
      </c>
      <c r="E38" s="8" t="n">
        <v>49.5141</v>
      </c>
      <c r="F38" s="8" t="n">
        <v>0.6647</v>
      </c>
      <c r="G38" s="9" t="n">
        <v>0.01360712721138847</v>
      </c>
      <c r="H38" s="10" t="n">
        <v>54.5754</v>
      </c>
      <c r="I38" s="10" t="n">
        <v>55.3733</v>
      </c>
      <c r="J38" s="10" t="n">
        <v>0.7979000000000001</v>
      </c>
      <c r="K38" s="11" t="n">
        <v>0.01462014020969155</v>
      </c>
      <c r="L38" s="12" t="n">
        <v>6430.77</v>
      </c>
      <c r="M38" s="12" t="n">
        <v>6560.62</v>
      </c>
      <c r="N38" s="12" t="n">
        <v>129.85</v>
      </c>
      <c r="O38" s="13" t="n">
        <v>0.02019198323062402</v>
      </c>
    </row>
    <row r="39">
      <c r="A39" s="5" t="n">
        <v>46303</v>
      </c>
      <c r="B39" s="6" t="n">
        <v>0.4240972222222222</v>
      </c>
      <c r="C39" s="50" t="inlineStr">
        <is>
          <t>Ziraat Katılım</t>
        </is>
      </c>
      <c r="D39" s="8" t="n">
        <v>48.6762</v>
      </c>
      <c r="E39" s="8" t="n">
        <v>49.6921</v>
      </c>
      <c r="F39" s="8" t="n">
        <v>1.0159</v>
      </c>
      <c r="G39" s="9" t="n">
        <v>0.02087056918987102</v>
      </c>
      <c r="H39" s="10" t="n">
        <v>54.4063</v>
      </c>
      <c r="I39" s="10" t="n">
        <v>55.5967</v>
      </c>
      <c r="J39" s="10" t="n">
        <v>1.1904</v>
      </c>
      <c r="K39" s="11" t="n">
        <v>0.02187981906507151</v>
      </c>
      <c r="L39" s="12" t="n">
        <v>6449.38</v>
      </c>
      <c r="M39" s="12" t="n">
        <v>6653.98</v>
      </c>
      <c r="N39" s="12" t="n">
        <v>204.6</v>
      </c>
      <c r="O39" s="13" t="n">
        <v>0.03172397966936357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</hyperlinks>
  <pageMargins left="0.75" right="0.75" top="1" bottom="1" header="0.5" footer="0.5"/>
  <tableParts count="1">
    <tablePart xmlns:r="http://schemas.openxmlformats.org/officeDocument/2006/relationships" r:id="rId452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46303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0.4240972222222222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0.02023130863145125</v>
      </c>
      <c r="O5" s="73" t="inlineStr">
        <is>
          <t>Ziraat Bankası</t>
        </is>
      </c>
      <c r="P5" s="74" t="n">
        <v>48.8006</v>
      </c>
      <c r="Q5" s="74" t="n">
        <v>49.7879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0.02023115036858816</v>
      </c>
      <c r="O6" s="73" t="inlineStr">
        <is>
          <t>Ziraat Bankası</t>
        </is>
      </c>
      <c r="P6" s="74" t="n">
        <v>54.6138</v>
      </c>
      <c r="Q6" s="74" t="n">
        <v>55.7187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0.02019254581475978</v>
      </c>
      <c r="O7" s="73" t="inlineStr">
        <is>
          <t>Ziraat Bankası</t>
        </is>
      </c>
      <c r="P7" s="74" t="n">
        <v>6460.8</v>
      </c>
      <c r="Q7" s="74" t="n">
        <v>6591.26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0.03140241907319311</v>
      </c>
      <c r="I15" s="69" t="n">
        <v>0.03140143826326475</v>
      </c>
      <c r="J15" s="70" t="n">
        <v>0.04311846711269473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0.03510958541737297</v>
      </c>
      <c r="I16" s="69" t="n">
        <v>0.03519060649839588</v>
      </c>
      <c r="J16" s="70" t="n">
        <v>0.04762146569375388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0.02930839245835867</v>
      </c>
      <c r="I17" s="69" t="n">
        <v>0.02813970790742307</v>
      </c>
      <c r="J17" s="70" t="n">
        <v>0.04407754556616111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0.03039277876318525</v>
      </c>
      <c r="I18" s="69" t="n">
        <v>0.03039343025529518</v>
      </c>
      <c r="J18" s="70" t="n">
        <v>0.0513160603444779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0.03215172697504644</v>
      </c>
      <c r="I19" s="69" t="n">
        <v>0.03226655817892407</v>
      </c>
      <c r="J19" s="70" t="n">
        <v>0.05390596029810268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0.03140241907319311</v>
      </c>
      <c r="V4" s="55" t="n">
        <v>0.03510958541737297</v>
      </c>
      <c r="W4" s="55" t="n">
        <v>0.02930839245835867</v>
      </c>
      <c r="X4" s="55" t="n">
        <v>0.03039277876318525</v>
      </c>
      <c r="Y4" s="55" t="n">
        <v>0.03215172697504644</v>
      </c>
      <c r="Z4" s="55" t="n">
        <v>0.03140143826326475</v>
      </c>
      <c r="AA4" s="55" t="n">
        <v>0.03519060649839588</v>
      </c>
      <c r="AB4" s="55" t="n">
        <v>0.02813970790742307</v>
      </c>
      <c r="AC4" s="55" t="n">
        <v>0.03039343025529518</v>
      </c>
      <c r="AD4" s="55" t="n">
        <v>0.03226655817892407</v>
      </c>
      <c r="AE4" s="55" t="n">
        <v>0.04311846711269473</v>
      </c>
      <c r="AF4" s="55" t="n">
        <v>0.04762146569375388</v>
      </c>
      <c r="AG4" s="55" t="n">
        <v>0.04407754556616111</v>
      </c>
      <c r="AH4" s="55" t="n">
        <v>0.0513160603444779</v>
      </c>
      <c r="AI4" s="55" t="n">
        <v>0.05390596029810268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2026-10-08T07:11:27Z</dcterms:created>
  <dcterms:modified xsi:type="dcterms:W3CDTF">2026-10-08T07:11:28Z</dcterms:modified>
</cp:coreProperties>
</file>