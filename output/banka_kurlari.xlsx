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'GRAFIK_VERILERI'!$B$2:$B$27</f>
              <numCache>
                <formatCode>0.00%</formatCode>
                <ptCount val="2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'GRAFIK_VERILERI'!$C$2:$C$27</f>
              <numCache>
                <formatCode>0.00%</formatCode>
                <ptCount val="2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'GRAFIK_VERILERI'!$D$2:$D$27</f>
              <numCache>
                <formatCode>0.00%</formatCode>
                <ptCount val="2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'GRAFIK_VERILERI'!$E$2:$E$27</f>
              <numCache>
                <formatCode>0.00%</formatCode>
                <ptCount val="2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'GRAFIK_VERILERI'!$F$2:$F$27</f>
              <numCache>
                <formatCode>0.00%</formatCode>
                <ptCount val="2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'GRAFIK_VERILERI'!$G$2:$G$27</f>
              <numCache>
                <formatCode>0.00%</formatCode>
                <ptCount val="2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'GRAFIK_VERILERI'!$H$2:$H$27</f>
              <numCache>
                <formatCode>0.00%</formatCode>
                <ptCount val="2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'GRAFIK_VERILERI'!$I$2:$I$27</f>
              <numCache>
                <formatCode>0.00%</formatCode>
                <ptCount val="2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'GRAFIK_VERILERI'!$J$2:$J$27</f>
              <numCache>
                <formatCode>0.00%</formatCode>
                <ptCount val="2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'GRAFIK_VERILERI'!$K$2:$K$27</f>
              <numCache>
                <formatCode>0.00%</formatCode>
                <ptCount val="2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'GRAFIK_VERILERI'!$L$2:$L$27</f>
              <numCache>
                <formatCode>0.00%</formatCode>
                <ptCount val="2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'GRAFIK_VERILERI'!$M$2:$M$27</f>
              <numCache>
                <formatCode>0.00%</formatCode>
                <ptCount val="2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'GRAFIK_VERILERI'!$N$2:$N$27</f>
              <numCache>
                <formatCode>0.00%</formatCode>
                <ptCount val="2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'GRAFIK_VERILERI'!$O$2:$O$27</f>
              <numCache>
                <formatCode>0.00%</formatCode>
                <ptCount val="2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'GRAFIK_VERILERI'!$P$2:$P$27</f>
              <numCache>
                <formatCode>0.00%</formatCode>
                <ptCount val="2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0.0321032666758613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0.0362049731616311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0.02918601267711402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0.03131638458853807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0.03272511551990184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37073079011609"/>
          <min val="0.026422788575418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0.03210419580555215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0.03631602354297134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0.02732523637359915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0.03131632714651213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0.03283191408155445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6728867136644"/>
          <min val="0.023706707813020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0.04610890191170894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0.04923398426869374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0.04233637651288224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0.05414526381004181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0.05567709719182421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6330952795563"/>
          <min val="0.0334281088476638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'GRAFIK_VERILERI'!$B$2:$B$27</f>
              <numCache>
                <formatCode>0.00%</formatCode>
                <ptCount val="2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092720955996"/>
          <min val="0.0252580756587077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'GRAFIK_VERILERI'!$G$2:$G$27</f>
              <numCache>
                <formatCode>0.00%</formatCode>
                <ptCount val="2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645920563145"/>
          <min val="0.025264336527026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'GRAFIK_VERILERI'!$L$2:$L$27</f>
              <numCache>
                <formatCode>0.00%</formatCode>
                <ptCount val="2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795085901056"/>
          <min val="0.030106889957965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'GRAFIK_VERILERI'!$C$2:$C$27</f>
              <numCache>
                <formatCode>0.00%</formatCode>
                <ptCount val="2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213121818414"/>
          <min val="0.0221847630042172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'GRAFIK_VERILERI'!$H$2:$H$27</f>
              <numCache>
                <formatCode>0.00%</formatCode>
                <ptCount val="2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0170183984381"/>
          <min val="0.0221280597998107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'GRAFIK_VERILERI'!$M$2:$M$27</f>
              <numCache>
                <formatCode>0.00%</formatCode>
                <ptCount val="2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0855897119015"/>
          <min val="0.0258656855956232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'GRAFIK_VERILERI'!$D$2:$D$27</f>
              <numCache>
                <formatCode>0.00%</formatCode>
                <ptCount val="2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'GRAFIK_VERILERI'!$I$2:$I$27</f>
              <numCache>
                <formatCode>0.00%</formatCode>
                <ptCount val="2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'GRAFIK_VERILERI'!$N$2:$N$27</f>
              <numCache>
                <formatCode>0.00%</formatCode>
                <ptCount val="2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'GRAFIK_VERILERI'!$E$2:$E$27</f>
              <numCache>
                <formatCode>0.00%</formatCode>
                <ptCount val="2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'GRAFIK_VERILERI'!$J$2:$J$27</f>
              <numCache>
                <formatCode>0.00%</formatCode>
                <ptCount val="2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'GRAFIK_VERILERI'!$O$2:$O$27</f>
              <numCache>
                <formatCode>0.00%</formatCode>
                <ptCount val="2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'GRAFIK_VERILERI'!$F$2:$F$27</f>
              <numCache>
                <formatCode>0.00%</formatCode>
                <ptCount val="2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'GRAFIK_VERILERI'!$K$2:$K$27</f>
              <numCache>
                <formatCode>0.00%</formatCode>
                <ptCount val="2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'GRAFIK_VERILERI'!$A$2:$A$27</f>
              <strCache>
                <ptCount val="2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</strCache>
            </strRef>
          </cat>
          <val>
            <numRef>
              <f>'GRAFIK_VERILERI'!$P$2:$P$27</f>
              <numCache>
                <formatCode>0.00%</formatCode>
                <ptCount val="2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809" headerRowCount="1">
  <autoFilter ref="A1:N280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table" Target="/xl/tables/table2.xml" Id="rId280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46287</v>
      </c>
      <c r="B2" s="6" t="n">
        <v>0.4676967592592592</v>
      </c>
      <c r="C2" s="7" t="inlineStr">
        <is>
          <t>Akbank</t>
        </is>
      </c>
      <c r="D2" s="8" t="n">
        <v>48.023</v>
      </c>
      <c r="E2" s="8" t="n">
        <v>49.373</v>
      </c>
      <c r="F2" s="8" t="n">
        <v>1.35</v>
      </c>
      <c r="G2" s="9" t="n">
        <v>0.02811152989192678</v>
      </c>
      <c r="H2" s="10" t="n">
        <v>54.9484</v>
      </c>
      <c r="I2" s="10" t="n">
        <v>56.493</v>
      </c>
      <c r="J2" s="10" t="n">
        <v>1.5446</v>
      </c>
      <c r="K2" s="11" t="n">
        <v>0.02811000866267262</v>
      </c>
      <c r="L2" s="12" t="n">
        <v>6586.98</v>
      </c>
      <c r="M2" s="12" t="n">
        <v>6822.42</v>
      </c>
      <c r="N2" s="12" t="n">
        <v>235.44</v>
      </c>
      <c r="O2" s="13" t="n">
        <v>0.03574323893498994</v>
      </c>
    </row>
    <row r="3">
      <c r="A3" s="5" t="n">
        <v>46287</v>
      </c>
      <c r="B3" s="6" t="n">
        <v>0.4676967592592592</v>
      </c>
      <c r="C3" s="14" t="inlineStr">
        <is>
          <t>Albaraka Türk</t>
        </is>
      </c>
      <c r="D3" s="8" t="n">
        <v>48.419</v>
      </c>
      <c r="E3" s="8" t="n">
        <v>49.2</v>
      </c>
      <c r="F3" s="8" t="n">
        <v>0.781</v>
      </c>
      <c r="G3" s="9" t="n">
        <v>0.01613003159916562</v>
      </c>
      <c r="H3" s="10" t="n">
        <v>55.396</v>
      </c>
      <c r="I3" s="10" t="n">
        <v>56.3</v>
      </c>
      <c r="J3" s="10" t="n">
        <v>0.904</v>
      </c>
      <c r="K3" s="11" t="n">
        <v>0.01631886778828796</v>
      </c>
      <c r="L3" s="12" t="n">
        <v>6661.3</v>
      </c>
      <c r="M3" s="12" t="n">
        <v>6797.14</v>
      </c>
      <c r="N3" s="12" t="n">
        <v>135.84</v>
      </c>
      <c r="O3" s="13" t="n">
        <v>0.02039241589479531</v>
      </c>
    </row>
    <row r="4">
      <c r="A4" s="5" t="n">
        <v>46287</v>
      </c>
      <c r="B4" s="6" t="n">
        <v>0.4676967592592592</v>
      </c>
      <c r="C4" s="15" t="inlineStr">
        <is>
          <t>Alternatif Bank</t>
        </is>
      </c>
      <c r="D4" s="8" t="n">
        <v>48.603</v>
      </c>
      <c r="E4" s="8" t="n">
        <v>48.897</v>
      </c>
      <c r="F4" s="8" t="n">
        <v>0.294</v>
      </c>
      <c r="G4" s="9" t="n">
        <v>0.006049009320412321</v>
      </c>
      <c r="H4" s="10" t="n">
        <v>55.444</v>
      </c>
      <c r="I4" s="10" t="n">
        <v>55.954</v>
      </c>
      <c r="J4" s="10" t="n">
        <v>0.51</v>
      </c>
      <c r="K4" s="11" t="n">
        <v>0.009198470528821874</v>
      </c>
      <c r="L4" s="12" t="n">
        <v>6724.17</v>
      </c>
      <c r="M4" s="12" t="n">
        <v>6791.62</v>
      </c>
      <c r="N4" s="12" t="n">
        <v>67.45</v>
      </c>
      <c r="O4" s="13" t="n">
        <v>0.01003097780097767</v>
      </c>
    </row>
    <row r="5">
      <c r="A5" s="5" t="n">
        <v>46287</v>
      </c>
      <c r="B5" s="6" t="n">
        <v>0.4676967592592592</v>
      </c>
      <c r="C5" s="16" t="inlineStr">
        <is>
          <t>Altınkaynak</t>
        </is>
      </c>
      <c r="D5" s="8" t="n">
        <v>48.659</v>
      </c>
      <c r="E5" s="8" t="n">
        <v>48.859</v>
      </c>
      <c r="F5" s="8" t="n">
        <v>0.2</v>
      </c>
      <c r="G5" s="9" t="n">
        <v>0.004110236544113114</v>
      </c>
      <c r="H5" s="10" t="n">
        <v>55.549</v>
      </c>
      <c r="I5" s="10" t="n">
        <v>55.901</v>
      </c>
      <c r="J5" s="10" t="n">
        <v>0.352</v>
      </c>
      <c r="K5" s="11" t="n">
        <v>0.006336747736232875</v>
      </c>
      <c r="L5" s="12" t="n">
        <v>6655.35</v>
      </c>
      <c r="M5" s="12" t="n">
        <v>6810</v>
      </c>
      <c r="N5" s="12" t="n">
        <v>154.65</v>
      </c>
      <c r="O5" s="13" t="n">
        <v>0.02323694471365142</v>
      </c>
    </row>
    <row r="6">
      <c r="A6" s="5" t="n">
        <v>46287</v>
      </c>
      <c r="B6" s="6" t="n">
        <v>0.4676967592592592</v>
      </c>
      <c r="C6" s="17" t="inlineStr">
        <is>
          <t>Anadolubank</t>
        </is>
      </c>
      <c r="D6" s="8" t="n">
        <v>47.975</v>
      </c>
      <c r="E6" s="8" t="n">
        <v>49.2519</v>
      </c>
      <c r="F6" s="8" t="n">
        <v>1.2769</v>
      </c>
      <c r="G6" s="9" t="n">
        <v>0.02661594580510683</v>
      </c>
      <c r="H6" s="10" t="n">
        <v>54.98</v>
      </c>
      <c r="I6" s="10" t="n">
        <v>56.3458</v>
      </c>
      <c r="J6" s="10" t="n">
        <v>1.3658</v>
      </c>
      <c r="K6" s="11" t="n">
        <v>0.02484176064023281</v>
      </c>
      <c r="L6" s="12" t="n">
        <v>6645.62</v>
      </c>
      <c r="M6" s="12" t="n">
        <v>6796.72</v>
      </c>
      <c r="N6" s="12" t="n">
        <v>151.1</v>
      </c>
      <c r="O6" s="13" t="n">
        <v>0.02273678001450579</v>
      </c>
    </row>
    <row r="7">
      <c r="A7" s="5" t="n">
        <v>46287</v>
      </c>
      <c r="B7" s="6" t="n">
        <v>0.4676967592592592</v>
      </c>
      <c r="C7" s="18" t="inlineStr">
        <is>
          <t>CEPTETEB</t>
        </is>
      </c>
      <c r="D7" s="8" t="n">
        <v>47.814</v>
      </c>
      <c r="E7" s="8" t="n">
        <v>49.757</v>
      </c>
      <c r="F7" s="8" t="n">
        <v>1.943</v>
      </c>
      <c r="G7" s="9" t="n">
        <v>0.04063663362195172</v>
      </c>
      <c r="H7" s="10" t="n">
        <v>54.704</v>
      </c>
      <c r="I7" s="10" t="n">
        <v>56.937</v>
      </c>
      <c r="J7" s="10" t="n">
        <v>2.233</v>
      </c>
      <c r="K7" s="11" t="n">
        <v>0.0408196841181632</v>
      </c>
      <c r="L7" s="12" t="n">
        <v>6642.75</v>
      </c>
      <c r="M7" s="12" t="n">
        <v>6838.56</v>
      </c>
      <c r="N7" s="12" t="n">
        <v>195.81</v>
      </c>
      <c r="O7" s="13" t="n">
        <v>0.0294772496330586</v>
      </c>
    </row>
    <row r="8">
      <c r="A8" s="5" t="n">
        <v>46287</v>
      </c>
      <c r="B8" s="6" t="n">
        <v>0.4676967592592592</v>
      </c>
      <c r="C8" s="19" t="inlineStr">
        <is>
          <t>Denizbank</t>
        </is>
      </c>
      <c r="D8" s="8" t="n">
        <v>48.0768</v>
      </c>
      <c r="E8" s="8" t="n">
        <v>49.4769</v>
      </c>
      <c r="F8" s="8" t="n">
        <v>1.4001</v>
      </c>
      <c r="G8" s="9" t="n">
        <v>0.02912215455271566</v>
      </c>
      <c r="H8" s="10" t="n">
        <v>55.0046</v>
      </c>
      <c r="I8" s="10" t="n">
        <v>56.6114</v>
      </c>
      <c r="J8" s="10" t="n">
        <v>1.6068</v>
      </c>
      <c r="K8" s="11" t="n">
        <v>0.02921210226053821</v>
      </c>
      <c r="L8" s="12" t="n">
        <v>6660.25</v>
      </c>
      <c r="M8" s="12" t="n">
        <v>6855.3</v>
      </c>
      <c r="N8" s="12" t="n">
        <v>195.05</v>
      </c>
      <c r="O8" s="13" t="n">
        <v>0.02928568747419391</v>
      </c>
    </row>
    <row r="9">
      <c r="A9" s="5" t="n">
        <v>46287</v>
      </c>
      <c r="B9" s="6" t="n">
        <v>0.4676967592592592</v>
      </c>
      <c r="C9" s="20" t="inlineStr">
        <is>
          <t>DestekBank</t>
        </is>
      </c>
      <c r="D9" s="8" t="n">
        <v>48.7461</v>
      </c>
      <c r="E9" s="8" t="n">
        <v>48.8042</v>
      </c>
      <c r="F9" s="8" t="n">
        <v>0.0581</v>
      </c>
      <c r="G9" s="9" t="n">
        <v>0.001191890223012713</v>
      </c>
      <c r="H9" s="10" t="n">
        <v>55.7589</v>
      </c>
      <c r="I9" s="10" t="n">
        <v>55.8445</v>
      </c>
      <c r="J9" s="10" t="n">
        <v>0.0856</v>
      </c>
      <c r="K9" s="11" t="n">
        <v>0.001535180930757242</v>
      </c>
      <c r="L9" s="12" t="n">
        <v>6708.26</v>
      </c>
      <c r="M9" s="12" t="n">
        <v>6737.44</v>
      </c>
      <c r="N9" s="12" t="n">
        <v>29.18</v>
      </c>
      <c r="O9" s="13" t="n">
        <v>0.004349861215874161</v>
      </c>
    </row>
    <row r="10">
      <c r="A10" s="5" t="n">
        <v>46287</v>
      </c>
      <c r="B10" s="6" t="n">
        <v>0.4676967592592592</v>
      </c>
      <c r="C10" s="21" t="inlineStr">
        <is>
          <t>Dünya Katılım</t>
        </is>
      </c>
      <c r="D10" s="8" t="n">
        <v>48.7312</v>
      </c>
      <c r="E10" s="8" t="n">
        <v>48.822</v>
      </c>
      <c r="F10" s="8" t="n">
        <v>0.09080000000000001</v>
      </c>
      <c r="G10" s="9" t="n">
        <v>0.001863282660800473</v>
      </c>
      <c r="H10" s="10" t="n">
        <v>55.6879</v>
      </c>
      <c r="I10" s="10" t="n">
        <v>55.8912</v>
      </c>
      <c r="J10" s="10" t="n">
        <v>0.2033</v>
      </c>
      <c r="K10" s="11" t="n">
        <v>0.003650703294611576</v>
      </c>
      <c r="L10" s="12" t="n">
        <v>6705.82</v>
      </c>
      <c r="M10" s="12" t="n">
        <v>6741.13</v>
      </c>
      <c r="N10" s="12" t="n">
        <v>35.31</v>
      </c>
      <c r="O10" s="13" t="n">
        <v>0.005265575276401693</v>
      </c>
    </row>
    <row r="11">
      <c r="A11" s="5" t="n">
        <v>46287</v>
      </c>
      <c r="B11" s="6" t="n">
        <v>0.4676967592592592</v>
      </c>
      <c r="C11" s="22" t="inlineStr">
        <is>
          <t>Emlak Katılım</t>
        </is>
      </c>
      <c r="D11" s="8" t="n">
        <v>48.4441</v>
      </c>
      <c r="E11" s="8" t="n">
        <v>49.6943</v>
      </c>
      <c r="F11" s="8" t="n">
        <v>1.2502</v>
      </c>
      <c r="G11" s="9" t="n">
        <v>0.02580706422453921</v>
      </c>
      <c r="H11" s="10" t="n">
        <v>55.3358</v>
      </c>
      <c r="I11" s="10" t="n">
        <v>56.6139</v>
      </c>
      <c r="J11" s="10" t="n">
        <v>1.2781</v>
      </c>
      <c r="K11" s="11" t="n">
        <v>0.02309716313851069</v>
      </c>
      <c r="L11" s="12" t="n">
        <v>6663.42</v>
      </c>
      <c r="M11" s="12" t="n">
        <v>6773.35</v>
      </c>
      <c r="N11" s="12" t="n">
        <v>109.93</v>
      </c>
      <c r="O11" s="13" t="n">
        <v>0.01649753429920371</v>
      </c>
    </row>
    <row r="12">
      <c r="A12" s="5" t="n">
        <v>46287</v>
      </c>
      <c r="B12" s="6" t="n">
        <v>0.4676967592592592</v>
      </c>
      <c r="C12" s="23" t="inlineStr">
        <is>
          <t>Enpara</t>
        </is>
      </c>
      <c r="D12" s="8" t="n">
        <v>48.37</v>
      </c>
      <c r="E12" s="8" t="n">
        <v>49.22</v>
      </c>
      <c r="F12" s="8" t="n">
        <v>0.85</v>
      </c>
      <c r="G12" s="9" t="n">
        <v>0.01757287574943146</v>
      </c>
      <c r="H12" s="10" t="n">
        <v>55.2571</v>
      </c>
      <c r="I12" s="10" t="n">
        <v>56.402</v>
      </c>
      <c r="J12" s="10" t="n">
        <v>1.1449</v>
      </c>
      <c r="K12" s="11" t="n">
        <v>0.02071950934811997</v>
      </c>
      <c r="L12" s="12" t="n">
        <v>6658.76</v>
      </c>
      <c r="M12" s="12" t="n">
        <v>6804.82</v>
      </c>
      <c r="N12" s="12" t="n">
        <v>146.06</v>
      </c>
      <c r="O12" s="13" t="n">
        <v>0.02193501492770426</v>
      </c>
    </row>
    <row r="13">
      <c r="A13" s="5" t="n">
        <v>46287</v>
      </c>
      <c r="B13" s="6" t="n">
        <v>0.4676967592592592</v>
      </c>
      <c r="C13" s="24" t="inlineStr">
        <is>
          <t>Fibabanka</t>
        </is>
      </c>
      <c r="D13" s="8" t="n">
        <v>48.5206</v>
      </c>
      <c r="E13" s="8" t="n">
        <v>49.1273</v>
      </c>
      <c r="F13" s="8" t="n">
        <v>0.6067</v>
      </c>
      <c r="G13" s="9" t="n">
        <v>0.01250396738704798</v>
      </c>
      <c r="H13" s="10" t="n">
        <v>55.5304</v>
      </c>
      <c r="I13" s="10" t="n">
        <v>56.1905</v>
      </c>
      <c r="J13" s="10" t="n">
        <v>0.6601</v>
      </c>
      <c r="K13" s="11" t="n">
        <v>0.01188718251624335</v>
      </c>
      <c r="L13" s="12" t="n">
        <v>6732.38</v>
      </c>
      <c r="M13" s="12" t="n">
        <v>6786.76</v>
      </c>
      <c r="N13" s="12" t="n">
        <v>54.38</v>
      </c>
      <c r="O13" s="13" t="n">
        <v>0.008077381252989284</v>
      </c>
    </row>
    <row r="14">
      <c r="A14" s="5" t="n">
        <v>46287</v>
      </c>
      <c r="B14" s="6" t="n">
        <v>0.4676967592592592</v>
      </c>
      <c r="C14" s="25" t="inlineStr">
        <is>
          <t>Garanti BBVA</t>
        </is>
      </c>
      <c r="D14" s="8" t="n">
        <v>47.977</v>
      </c>
      <c r="E14" s="8" t="n">
        <v>49.327</v>
      </c>
      <c r="F14" s="8" t="n">
        <v>1.35</v>
      </c>
      <c r="G14" s="9" t="n">
        <v>0.02813848302311524</v>
      </c>
      <c r="H14" s="10" t="n">
        <v>54.895</v>
      </c>
      <c r="I14" s="10" t="n">
        <v>56.44</v>
      </c>
      <c r="J14" s="10" t="n">
        <v>1.545</v>
      </c>
      <c r="K14" s="11" t="n">
        <v>0.02814463976682758</v>
      </c>
      <c r="L14" s="12" t="n">
        <v>6628.2</v>
      </c>
      <c r="M14" s="12" t="n">
        <v>6872.6</v>
      </c>
      <c r="N14" s="12" t="n">
        <v>244.4</v>
      </c>
      <c r="O14" s="13" t="n">
        <v>0.03687275580097161</v>
      </c>
    </row>
    <row r="15">
      <c r="A15" s="5" t="n">
        <v>46287</v>
      </c>
      <c r="B15" s="6" t="n">
        <v>0.4676967592592592</v>
      </c>
      <c r="C15" s="26" t="inlineStr">
        <is>
          <t>Getirfinans</t>
        </is>
      </c>
      <c r="D15" s="8" t="n">
        <v>48.5206</v>
      </c>
      <c r="E15" s="8" t="n">
        <v>49.1273</v>
      </c>
      <c r="F15" s="8" t="n">
        <v>0.6067</v>
      </c>
      <c r="G15" s="9" t="n">
        <v>0.01250396738704798</v>
      </c>
      <c r="H15" s="10" t="n">
        <v>55.5276</v>
      </c>
      <c r="I15" s="10" t="n">
        <v>56.188</v>
      </c>
      <c r="J15" s="10" t="n">
        <v>0.6604</v>
      </c>
      <c r="K15" s="11" t="n">
        <v>0.01189318465051614</v>
      </c>
      <c r="L15" s="12" t="n">
        <v>6730.89</v>
      </c>
      <c r="M15" s="12" t="n">
        <v>6785.29</v>
      </c>
      <c r="N15" s="12" t="n">
        <v>54.4</v>
      </c>
      <c r="O15" s="13" t="n">
        <v>0.008082140697589769</v>
      </c>
    </row>
    <row r="16">
      <c r="A16" s="5" t="n">
        <v>46287</v>
      </c>
      <c r="B16" s="6" t="n">
        <v>0.4676967592592592</v>
      </c>
      <c r="C16" s="27" t="inlineStr">
        <is>
          <t>Halkbank</t>
        </is>
      </c>
      <c r="D16" s="8" t="n">
        <v>48.3897</v>
      </c>
      <c r="E16" s="8" t="n">
        <v>49.3697</v>
      </c>
      <c r="F16" s="8" t="n">
        <v>0.98</v>
      </c>
      <c r="G16" s="9" t="n">
        <v>0.0202522437626189</v>
      </c>
      <c r="H16" s="10" t="n">
        <v>55.3678</v>
      </c>
      <c r="I16" s="10" t="n">
        <v>56.4892</v>
      </c>
      <c r="J16" s="10" t="n">
        <v>1.1214</v>
      </c>
      <c r="K16" s="11" t="n">
        <v>0.02025364923294767</v>
      </c>
      <c r="L16" s="12" t="n">
        <v>6663.5</v>
      </c>
      <c r="M16" s="12" t="n">
        <v>6867.12</v>
      </c>
      <c r="N16" s="12" t="n">
        <v>203.62</v>
      </c>
      <c r="O16" s="13" t="n">
        <v>0.03055751481953928</v>
      </c>
    </row>
    <row r="17">
      <c r="A17" s="5" t="n">
        <v>46287</v>
      </c>
      <c r="B17" s="6" t="n">
        <v>0.4676967592592592</v>
      </c>
      <c r="C17" s="28" t="inlineStr">
        <is>
          <t>Harem</t>
        </is>
      </c>
      <c r="D17" s="8" t="n">
        <v>48.71</v>
      </c>
      <c r="E17" s="8" t="n">
        <v>48.77</v>
      </c>
      <c r="F17" s="8" t="n">
        <v>0.06</v>
      </c>
      <c r="G17" s="9" t="n">
        <v>0.001231779921987272</v>
      </c>
      <c r="H17" s="10" t="n">
        <v>55.621</v>
      </c>
      <c r="I17" s="10" t="n">
        <v>55.78</v>
      </c>
      <c r="J17" s="10" t="n">
        <v>0.159</v>
      </c>
      <c r="K17" s="11" t="n">
        <v>0.002858632530878625</v>
      </c>
      <c r="L17" s="12" t="n">
        <v>6680.96</v>
      </c>
      <c r="M17" s="12" t="n">
        <v>6757.34</v>
      </c>
      <c r="N17" s="12" t="n">
        <v>76.38</v>
      </c>
      <c r="O17" s="13" t="n">
        <v>0.01143248874413258</v>
      </c>
    </row>
    <row r="18">
      <c r="A18" s="5" t="n">
        <v>46287</v>
      </c>
      <c r="B18" s="6" t="n">
        <v>0.4676967592592592</v>
      </c>
      <c r="C18" s="29" t="inlineStr">
        <is>
          <t>Hayat Finans</t>
        </is>
      </c>
      <c r="D18" s="8" t="n">
        <v>48.7399</v>
      </c>
      <c r="E18" s="8" t="n">
        <v>48.8875</v>
      </c>
      <c r="F18" s="8" t="n">
        <v>0.1476</v>
      </c>
      <c r="G18" s="9" t="n">
        <v>0.003028319713417549</v>
      </c>
      <c r="H18" s="10" t="n">
        <v>55.7528</v>
      </c>
      <c r="I18" s="10" t="n">
        <v>55.9228</v>
      </c>
      <c r="J18" s="10" t="n">
        <v>0.17</v>
      </c>
      <c r="K18" s="11" t="n">
        <v>0.003049174211878148</v>
      </c>
      <c r="L18" s="12" t="n">
        <v>6719.49</v>
      </c>
      <c r="M18" s="12" t="n">
        <v>6767.02</v>
      </c>
      <c r="N18" s="12" t="n">
        <v>47.53</v>
      </c>
      <c r="O18" s="13" t="n">
        <v>0.007073453491261986</v>
      </c>
    </row>
    <row r="19">
      <c r="A19" s="5" t="n">
        <v>46287</v>
      </c>
      <c r="B19" s="6" t="n">
        <v>0.4676967592592592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6665.2</v>
      </c>
      <c r="M19" s="12" t="n">
        <v>6859.43</v>
      </c>
      <c r="N19" s="12" t="n">
        <v>194.23</v>
      </c>
      <c r="O19" s="13" t="n">
        <v>0.02914091100042009</v>
      </c>
    </row>
    <row r="20">
      <c r="A20" s="5" t="n">
        <v>46287</v>
      </c>
      <c r="B20" s="6" t="n">
        <v>0.4676967592592592</v>
      </c>
      <c r="C20" s="31" t="inlineStr">
        <is>
          <t>HSBC</t>
        </is>
      </c>
      <c r="D20" s="8" t="n">
        <v>48.3261</v>
      </c>
      <c r="E20" s="8" t="n">
        <v>49.2153</v>
      </c>
      <c r="F20" s="8" t="n">
        <v>0.8892</v>
      </c>
      <c r="G20" s="9" t="n">
        <v>0.01839999503373953</v>
      </c>
      <c r="H20" s="10" t="n">
        <v>55.2912</v>
      </c>
      <c r="I20" s="10" t="n">
        <v>56.3433</v>
      </c>
      <c r="J20" s="10" t="n">
        <v>1.0521</v>
      </c>
      <c r="K20" s="11" t="n">
        <v>0.01902834447434673</v>
      </c>
      <c r="L20" s="12" t="n">
        <v>6662.79</v>
      </c>
      <c r="M20" s="12" t="n">
        <v>7108.34</v>
      </c>
      <c r="N20" s="12" t="n">
        <v>445.55</v>
      </c>
      <c r="O20" s="13" t="n">
        <v>0.06687138571079082</v>
      </c>
    </row>
    <row r="21">
      <c r="A21" s="5" t="n">
        <v>46287</v>
      </c>
      <c r="B21" s="6" t="n">
        <v>0.4676967592592592</v>
      </c>
      <c r="C21" s="32" t="inlineStr">
        <is>
          <t>ING Bank</t>
        </is>
      </c>
      <c r="D21" s="8" t="n">
        <v>48.2739</v>
      </c>
      <c r="E21" s="8" t="n">
        <v>49.2776</v>
      </c>
      <c r="F21" s="8" t="n">
        <v>1.0037</v>
      </c>
      <c r="G21" s="9" t="n">
        <v>0.02079177360851309</v>
      </c>
      <c r="H21" s="10" t="n">
        <v>55.3036</v>
      </c>
      <c r="I21" s="10" t="n">
        <v>56.3124</v>
      </c>
      <c r="J21" s="10" t="n">
        <v>1.0088</v>
      </c>
      <c r="K21" s="11" t="n">
        <v>0.01824112715989556</v>
      </c>
      <c r="L21" s="12" t="n">
        <v>6632.15</v>
      </c>
      <c r="M21" s="12" t="n">
        <v>6884.37</v>
      </c>
      <c r="N21" s="12" t="n">
        <v>252.22</v>
      </c>
      <c r="O21" s="13" t="n">
        <v>0.03802989980624685</v>
      </c>
    </row>
    <row r="22">
      <c r="A22" s="5" t="n">
        <v>46287</v>
      </c>
      <c r="B22" s="6" t="n">
        <v>0.4676967592592592</v>
      </c>
      <c r="C22" s="33" t="inlineStr">
        <is>
          <t>İş Bankası</t>
        </is>
      </c>
      <c r="D22" s="8" t="n">
        <v>48.1943</v>
      </c>
      <c r="E22" s="8" t="n">
        <v>49.3634</v>
      </c>
      <c r="F22" s="8" t="n">
        <v>1.1691</v>
      </c>
      <c r="G22" s="9" t="n">
        <v>0.02425805541319202</v>
      </c>
      <c r="H22" s="10" t="n">
        <v>55.1359</v>
      </c>
      <c r="I22" s="10" t="n">
        <v>56.4756</v>
      </c>
      <c r="J22" s="10" t="n">
        <v>1.3397</v>
      </c>
      <c r="K22" s="11" t="n">
        <v>0.02429814331497264</v>
      </c>
      <c r="L22" s="12" t="n">
        <v>6653.5</v>
      </c>
      <c r="M22" s="12" t="n">
        <v>6836.45</v>
      </c>
      <c r="N22" s="12" t="n">
        <v>182.95</v>
      </c>
      <c r="O22" s="13" t="n">
        <v>0.02749680619222965</v>
      </c>
    </row>
    <row r="23">
      <c r="A23" s="5" t="n">
        <v>46287</v>
      </c>
      <c r="B23" s="6" t="n">
        <v>0.4676967592592592</v>
      </c>
      <c r="C23" s="34" t="inlineStr">
        <is>
          <t>Kapalıçarşı</t>
        </is>
      </c>
      <c r="D23" s="8" t="n">
        <v>48.73</v>
      </c>
      <c r="E23" s="8" t="n">
        <v>48.74</v>
      </c>
      <c r="F23" s="8" t="n">
        <v>0.01</v>
      </c>
      <c r="G23" s="9" t="n">
        <v>0.0002052123948286477</v>
      </c>
      <c r="H23" s="10" t="n">
        <v>55.65</v>
      </c>
      <c r="I23" s="10" t="n">
        <v>55.7</v>
      </c>
      <c r="J23" s="10" t="n">
        <v>0.05</v>
      </c>
      <c r="K23" s="11" t="n">
        <v>0.0008984725965858041</v>
      </c>
      <c r="L23" s="12" t="n">
        <v>6768.72</v>
      </c>
      <c r="M23" s="12" t="n">
        <v>6775.01</v>
      </c>
      <c r="N23" s="12" t="n">
        <v>6.29</v>
      </c>
      <c r="O23" s="13" t="n">
        <v>0.0009292746634518786</v>
      </c>
    </row>
    <row r="24">
      <c r="A24" s="5" t="n">
        <v>46287</v>
      </c>
      <c r="B24" s="6" t="n">
        <v>0.4676967592592592</v>
      </c>
      <c r="C24" s="35" t="inlineStr">
        <is>
          <t>Kuveyt Türk</t>
        </is>
      </c>
      <c r="D24" s="8" t="n">
        <v>48.43</v>
      </c>
      <c r="E24" s="8" t="n">
        <v>49.4185</v>
      </c>
      <c r="F24" s="8" t="n">
        <v>0.9885</v>
      </c>
      <c r="G24" s="9" t="n">
        <v>0.02041090233326451</v>
      </c>
      <c r="H24" s="10" t="n">
        <v>55.0707</v>
      </c>
      <c r="I24" s="10" t="n">
        <v>56.2065</v>
      </c>
      <c r="J24" s="10" t="n">
        <v>1.1358</v>
      </c>
      <c r="K24" s="11" t="n">
        <v>0.02062439736556826</v>
      </c>
      <c r="L24" s="12" t="n">
        <v>6610.43</v>
      </c>
      <c r="M24" s="12" t="n">
        <v>6785.86</v>
      </c>
      <c r="N24" s="12" t="n">
        <v>175.43</v>
      </c>
      <c r="O24" s="13" t="n">
        <v>0.02653836437266562</v>
      </c>
    </row>
    <row r="25">
      <c r="A25" s="5" t="n">
        <v>46287</v>
      </c>
      <c r="B25" s="6" t="n">
        <v>0.4676967592592592</v>
      </c>
      <c r="C25" s="36" t="inlineStr">
        <is>
          <t>Merkez Bankası</t>
        </is>
      </c>
      <c r="D25" s="8" t="n">
        <v>48.7131</v>
      </c>
      <c r="E25" s="8" t="n">
        <v>48.8009</v>
      </c>
      <c r="F25" s="8" t="n">
        <v>0.0878</v>
      </c>
      <c r="G25" s="9" t="n">
        <v>0.001802389911543302</v>
      </c>
      <c r="H25" s="10" t="n">
        <v>55.9243</v>
      </c>
      <c r="I25" s="10" t="n">
        <v>56.025</v>
      </c>
      <c r="J25" s="10" t="n">
        <v>0.1007</v>
      </c>
      <c r="K25" s="11" t="n">
        <v>0.001800648376466044</v>
      </c>
      <c r="L25" s="12" t="n"/>
      <c r="M25" s="12" t="n"/>
      <c r="N25" s="12" t="n"/>
      <c r="O25" s="13" t="n"/>
    </row>
    <row r="26">
      <c r="A26" s="5" t="n">
        <v>46287</v>
      </c>
      <c r="B26" s="6" t="n">
        <v>0.4676967592592592</v>
      </c>
      <c r="C26" s="37" t="inlineStr">
        <is>
          <t>Misyon Bank</t>
        </is>
      </c>
      <c r="D26" s="8" t="n">
        <v>48.7489</v>
      </c>
      <c r="E26" s="8" t="n">
        <v>48.8024</v>
      </c>
      <c r="F26" s="8" t="n">
        <v>0.0535</v>
      </c>
      <c r="G26" s="9" t="n">
        <v>0.001097460660650804</v>
      </c>
      <c r="H26" s="10" t="n">
        <v>55.7584</v>
      </c>
      <c r="I26" s="10" t="n">
        <v>55.8391</v>
      </c>
      <c r="J26" s="10" t="n">
        <v>0.08069999999999999</v>
      </c>
      <c r="K26" s="11" t="n">
        <v>0.001447315561422136</v>
      </c>
      <c r="L26" s="12" t="n">
        <v>6708.43</v>
      </c>
      <c r="M26" s="12" t="n">
        <v>6736.56</v>
      </c>
      <c r="N26" s="12" t="n">
        <v>28.13</v>
      </c>
      <c r="O26" s="13" t="n">
        <v>0.004193231501260355</v>
      </c>
    </row>
    <row r="27">
      <c r="A27" s="5" t="n">
        <v>46287</v>
      </c>
      <c r="B27" s="6" t="n">
        <v>0.4676967592592592</v>
      </c>
      <c r="C27" s="38" t="inlineStr">
        <is>
          <t>Odacı</t>
        </is>
      </c>
      <c r="D27" s="8" t="n">
        <v>48.662</v>
      </c>
      <c r="E27" s="8" t="n">
        <v>48.842</v>
      </c>
      <c r="F27" s="8" t="n">
        <v>0.18</v>
      </c>
      <c r="G27" s="9" t="n">
        <v>0.00369898483416218</v>
      </c>
      <c r="H27" s="10" t="n">
        <v>55.576</v>
      </c>
      <c r="I27" s="10" t="n">
        <v>55.818</v>
      </c>
      <c r="J27" s="10" t="n">
        <v>0.242</v>
      </c>
      <c r="K27" s="11" t="n">
        <v>0.004354397581689939</v>
      </c>
      <c r="L27" s="12" t="n">
        <v>6694</v>
      </c>
      <c r="M27" s="12" t="n">
        <v>6753</v>
      </c>
      <c r="N27" s="12" t="n">
        <v>59</v>
      </c>
      <c r="O27" s="13" t="n">
        <v>0.008813863161039737</v>
      </c>
    </row>
    <row r="28">
      <c r="A28" s="5" t="n">
        <v>46287</v>
      </c>
      <c r="B28" s="6" t="n">
        <v>0.4676967592592592</v>
      </c>
      <c r="C28" s="39" t="inlineStr">
        <is>
          <t>Odeabank</t>
        </is>
      </c>
      <c r="D28" s="8" t="n">
        <v>48.286</v>
      </c>
      <c r="E28" s="8" t="n">
        <v>49.286</v>
      </c>
      <c r="F28" s="8" t="n">
        <v>1</v>
      </c>
      <c r="G28" s="9" t="n">
        <v>0.02070993662759392</v>
      </c>
      <c r="H28" s="10" t="n">
        <v>55.274</v>
      </c>
      <c r="I28" s="10" t="n">
        <v>56.364</v>
      </c>
      <c r="J28" s="10" t="n">
        <v>1.09</v>
      </c>
      <c r="K28" s="11" t="n">
        <v>0.01971994065926113</v>
      </c>
      <c r="L28" s="12" t="n">
        <v>6711.27</v>
      </c>
      <c r="M28" s="12" t="n">
        <v>6811.27</v>
      </c>
      <c r="N28" s="12" t="n">
        <v>100</v>
      </c>
      <c r="O28" s="13" t="n">
        <v>0.01490030947942789</v>
      </c>
    </row>
    <row r="29">
      <c r="A29" s="5" t="n">
        <v>46287</v>
      </c>
      <c r="B29" s="6" t="n">
        <v>0.4676967592592592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6665.55</v>
      </c>
      <c r="M29" s="12" t="n">
        <v>6846.1</v>
      </c>
      <c r="N29" s="12" t="n">
        <v>180.55</v>
      </c>
      <c r="O29" s="13" t="n">
        <v>0.02708703707871068</v>
      </c>
    </row>
    <row r="30">
      <c r="A30" s="5" t="n">
        <v>46287</v>
      </c>
      <c r="B30" s="6" t="n">
        <v>0.4676967592592592</v>
      </c>
      <c r="C30" s="41" t="inlineStr">
        <is>
          <t>QNB Finansbank</t>
        </is>
      </c>
      <c r="D30" s="8" t="n">
        <v>48.06</v>
      </c>
      <c r="E30" s="8" t="n">
        <v>49.58</v>
      </c>
      <c r="F30" s="8" t="n">
        <v>1.52</v>
      </c>
      <c r="G30" s="9" t="n">
        <v>0.03162713275072825</v>
      </c>
      <c r="H30" s="10" t="n">
        <v>54.87</v>
      </c>
      <c r="I30" s="10" t="n">
        <v>56.8536</v>
      </c>
      <c r="J30" s="10" t="n">
        <v>1.9836</v>
      </c>
      <c r="K30" s="11" t="n">
        <v>0.03615090213231274</v>
      </c>
      <c r="L30" s="12" t="n">
        <v>6612.28</v>
      </c>
      <c r="M30" s="12" t="n">
        <v>6851.39</v>
      </c>
      <c r="N30" s="12" t="n">
        <v>239.11</v>
      </c>
      <c r="O30" s="13" t="n">
        <v>0.03616150556237788</v>
      </c>
    </row>
    <row r="31">
      <c r="A31" s="5" t="n">
        <v>46287</v>
      </c>
      <c r="B31" s="6" t="n">
        <v>0.4676967592592592</v>
      </c>
      <c r="C31" s="42" t="inlineStr">
        <is>
          <t>TOM Bank Hadi</t>
        </is>
      </c>
      <c r="D31" s="8" t="n">
        <v>48.8108</v>
      </c>
      <c r="E31" s="8" t="n">
        <v>48.8108</v>
      </c>
      <c r="F31" s="8" t="n">
        <v>0</v>
      </c>
      <c r="G31" s="9" t="n">
        <v>0</v>
      </c>
      <c r="H31" s="10" t="n">
        <v>55.8287</v>
      </c>
      <c r="I31" s="10" t="n">
        <v>55.8287</v>
      </c>
      <c r="J31" s="10" t="n">
        <v>0</v>
      </c>
      <c r="K31" s="11" t="n">
        <v>0</v>
      </c>
      <c r="L31" s="12" t="n">
        <v>6731.18</v>
      </c>
      <c r="M31" s="12" t="n">
        <v>6731.18</v>
      </c>
      <c r="N31" s="12" t="n">
        <v>0</v>
      </c>
      <c r="O31" s="13" t="n">
        <v>0</v>
      </c>
    </row>
    <row r="32">
      <c r="A32" s="5" t="n">
        <v>46287</v>
      </c>
      <c r="B32" s="6" t="n">
        <v>0.4676967592592592</v>
      </c>
      <c r="C32" s="43" t="inlineStr">
        <is>
          <t>Türkiye Finans</t>
        </is>
      </c>
      <c r="D32" s="8" t="n">
        <v>48.374</v>
      </c>
      <c r="E32" s="8" t="n">
        <v>49.1766</v>
      </c>
      <c r="F32" s="8" t="n">
        <v>0.8026</v>
      </c>
      <c r="G32" s="9" t="n">
        <v>0.01659155744821598</v>
      </c>
      <c r="H32" s="10" t="n">
        <v>55.3809</v>
      </c>
      <c r="I32" s="10" t="n">
        <v>56.2311</v>
      </c>
      <c r="J32" s="10" t="n">
        <v>0.8502</v>
      </c>
      <c r="K32" s="11" t="n">
        <v>0.01535186318748883</v>
      </c>
      <c r="L32" s="12" t="n">
        <v>6661.87</v>
      </c>
      <c r="M32" s="12" t="n">
        <v>6858.27</v>
      </c>
      <c r="N32" s="12" t="n">
        <v>196.4</v>
      </c>
      <c r="O32" s="13" t="n">
        <v>0.02948121173184106</v>
      </c>
    </row>
    <row r="33">
      <c r="A33" s="5" t="n">
        <v>46287</v>
      </c>
      <c r="B33" s="6" t="n">
        <v>0.4676967592592592</v>
      </c>
      <c r="C33" s="44" t="inlineStr">
        <is>
          <t>Vakıf Katılım</t>
        </is>
      </c>
      <c r="D33" s="8" t="n">
        <v>48.6746</v>
      </c>
      <c r="E33" s="8" t="n">
        <v>48.88</v>
      </c>
      <c r="F33" s="8" t="n">
        <v>0.2054</v>
      </c>
      <c r="G33" s="9" t="n">
        <v>0.004219860050210993</v>
      </c>
      <c r="H33" s="10" t="n">
        <v>55.6827</v>
      </c>
      <c r="I33" s="10" t="n">
        <v>55.907</v>
      </c>
      <c r="J33" s="10" t="n">
        <v>0.2243</v>
      </c>
      <c r="K33" s="11" t="n">
        <v>0.004028181104723729</v>
      </c>
      <c r="L33" s="12" t="n">
        <v>6699.09</v>
      </c>
      <c r="M33" s="12" t="n">
        <v>6752.9</v>
      </c>
      <c r="N33" s="12" t="n">
        <v>53.81</v>
      </c>
      <c r="O33" s="13" t="n">
        <v>0.008032434255995964</v>
      </c>
    </row>
    <row r="34">
      <c r="A34" s="5" t="n">
        <v>46287</v>
      </c>
      <c r="B34" s="6" t="n">
        <v>0.4676967592592592</v>
      </c>
      <c r="C34" s="45" t="inlineStr">
        <is>
          <t>Vakıfbank</t>
        </is>
      </c>
      <c r="D34" s="8" t="n">
        <v>48.4196</v>
      </c>
      <c r="E34" s="8" t="n">
        <v>49.3976</v>
      </c>
      <c r="F34" s="8" t="n">
        <v>0.978</v>
      </c>
      <c r="G34" s="9" t="n">
        <v>0.02019843203991772</v>
      </c>
      <c r="H34" s="10" t="n">
        <v>55.3532</v>
      </c>
      <c r="I34" s="10" t="n">
        <v>56.4587</v>
      </c>
      <c r="J34" s="10" t="n">
        <v>1.1055</v>
      </c>
      <c r="K34" s="11" t="n">
        <v>0.01997174508429504</v>
      </c>
      <c r="L34" s="12" t="n">
        <v>6666.58</v>
      </c>
      <c r="M34" s="12" t="n">
        <v>6809.18</v>
      </c>
      <c r="N34" s="12" t="n">
        <v>142.6</v>
      </c>
      <c r="O34" s="13" t="n">
        <v>0.02139027807361496</v>
      </c>
    </row>
    <row r="35">
      <c r="A35" s="5" t="n">
        <v>46287</v>
      </c>
      <c r="B35" s="6" t="n">
        <v>0.4676967592592592</v>
      </c>
      <c r="C35" s="46" t="inlineStr">
        <is>
          <t>Venüs</t>
        </is>
      </c>
      <c r="D35" s="8" t="n">
        <v>48.72</v>
      </c>
      <c r="E35" s="8" t="n">
        <v>48.771</v>
      </c>
      <c r="F35" s="8" t="n">
        <v>0.051</v>
      </c>
      <c r="G35" s="9" t="n">
        <v>0.00104679802955665</v>
      </c>
      <c r="H35" s="10" t="n">
        <v>55.633</v>
      </c>
      <c r="I35" s="10" t="n">
        <v>55.76</v>
      </c>
      <c r="J35" s="10" t="n">
        <v>0.127</v>
      </c>
      <c r="K35" s="11" t="n">
        <v>0.002282817752053637</v>
      </c>
      <c r="L35" s="12" t="n"/>
      <c r="M35" s="12" t="n"/>
      <c r="N35" s="12" t="n"/>
      <c r="O35" s="13" t="n"/>
    </row>
    <row r="36">
      <c r="A36" s="5" t="n">
        <v>46287</v>
      </c>
      <c r="B36" s="6" t="n">
        <v>0.4676967592592592</v>
      </c>
      <c r="C36" s="47" t="inlineStr">
        <is>
          <t>Yapıkredi</t>
        </is>
      </c>
      <c r="D36" s="8" t="n">
        <v>48.25</v>
      </c>
      <c r="E36" s="8" t="n">
        <v>49.15</v>
      </c>
      <c r="F36" s="8" t="n">
        <v>0.9</v>
      </c>
      <c r="G36" s="9" t="n">
        <v>0.01865284974093264</v>
      </c>
      <c r="H36" s="10" t="n">
        <v>55.2</v>
      </c>
      <c r="I36" s="10" t="n">
        <v>56.22</v>
      </c>
      <c r="J36" s="10" t="n">
        <v>1.02</v>
      </c>
      <c r="K36" s="11" t="n">
        <v>0.01847826086956522</v>
      </c>
      <c r="L36" s="12" t="n">
        <v>6650.19</v>
      </c>
      <c r="M36" s="12" t="n">
        <v>6830.63</v>
      </c>
      <c r="N36" s="12" t="n">
        <v>180.44</v>
      </c>
      <c r="O36" s="13" t="n">
        <v>0.02713305935619885</v>
      </c>
    </row>
    <row r="37">
      <c r="A37" s="5" t="n">
        <v>46287</v>
      </c>
      <c r="B37" s="6" t="n">
        <v>0.4676967592592592</v>
      </c>
      <c r="C37" s="48" t="inlineStr">
        <is>
          <t>Ziraat Bankası</t>
        </is>
      </c>
      <c r="D37" s="8" t="n">
        <v>48.4091</v>
      </c>
      <c r="E37" s="8" t="n">
        <v>49.3884</v>
      </c>
      <c r="F37" s="8" t="n">
        <v>0.9792999999999999</v>
      </c>
      <c r="G37" s="9" t="n">
        <v>0.02022966756250374</v>
      </c>
      <c r="H37" s="10" t="n">
        <v>55.395</v>
      </c>
      <c r="I37" s="10" t="n">
        <v>56.5156</v>
      </c>
      <c r="J37" s="10" t="n">
        <v>1.1206</v>
      </c>
      <c r="K37" s="11" t="n">
        <v>0.0202292625688239</v>
      </c>
      <c r="L37" s="12" t="n">
        <v>6699.88</v>
      </c>
      <c r="M37" s="12" t="n">
        <v>6835.16</v>
      </c>
      <c r="N37" s="12" t="n">
        <v>135.28</v>
      </c>
      <c r="O37" s="13" t="n">
        <v>0.02019140641324919</v>
      </c>
    </row>
    <row r="38">
      <c r="A38" s="5" t="n">
        <v>46287</v>
      </c>
      <c r="B38" s="6" t="n">
        <v>0.4676967592592592</v>
      </c>
      <c r="C38" s="49" t="inlineStr">
        <is>
          <t>Ziraat Dinamik</t>
        </is>
      </c>
      <c r="D38" s="8" t="n">
        <v>48.4575</v>
      </c>
      <c r="E38" s="8" t="n">
        <v>49.1168</v>
      </c>
      <c r="F38" s="8" t="n">
        <v>0.6593</v>
      </c>
      <c r="G38" s="9" t="n">
        <v>0.01360573698601868</v>
      </c>
      <c r="H38" s="10" t="n">
        <v>55.3787</v>
      </c>
      <c r="I38" s="10" t="n">
        <v>56.1883</v>
      </c>
      <c r="J38" s="10" t="n">
        <v>0.8096</v>
      </c>
      <c r="K38" s="11" t="n">
        <v>0.01461933920442336</v>
      </c>
      <c r="L38" s="12" t="n">
        <v>6667.47</v>
      </c>
      <c r="M38" s="12" t="n">
        <v>6802.1</v>
      </c>
      <c r="N38" s="12" t="n">
        <v>134.63</v>
      </c>
      <c r="O38" s="13" t="n">
        <v>0.02019206685594386</v>
      </c>
    </row>
    <row r="39">
      <c r="A39" s="5" t="n">
        <v>46287</v>
      </c>
      <c r="B39" s="6" t="n">
        <v>0.4676967592592592</v>
      </c>
      <c r="C39" s="50" t="inlineStr">
        <is>
          <t>Ziraat Katılım</t>
        </is>
      </c>
      <c r="D39" s="8" t="n">
        <v>48.2853</v>
      </c>
      <c r="E39" s="8" t="n">
        <v>49.2928</v>
      </c>
      <c r="F39" s="8" t="n">
        <v>1.0075</v>
      </c>
      <c r="G39" s="9" t="n">
        <v>0.02086556363945134</v>
      </c>
      <c r="H39" s="10" t="n">
        <v>55.208</v>
      </c>
      <c r="I39" s="10" t="n">
        <v>56.4149</v>
      </c>
      <c r="J39" s="10" t="n">
        <v>1.2069</v>
      </c>
      <c r="K39" s="11" t="n">
        <v>0.02186096217939429</v>
      </c>
      <c r="L39" s="12" t="n">
        <v>6687.94</v>
      </c>
      <c r="M39" s="12" t="n">
        <v>6900.14</v>
      </c>
      <c r="N39" s="12" t="n">
        <v>212.2</v>
      </c>
      <c r="O39" s="13" t="n">
        <v>0.03172875354743015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</hyperlinks>
  <pageMargins left="0.75" right="0.75" top="1" bottom="1" header="0.5" footer="0.5"/>
  <tableParts count="1">
    <tablePart xmlns:r="http://schemas.openxmlformats.org/officeDocument/2006/relationships" r:id="rId280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46287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0.4676967592592592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0.01865284974093264</v>
      </c>
      <c r="O5" s="73" t="inlineStr">
        <is>
          <t>Yapıkredi</t>
        </is>
      </c>
      <c r="P5" s="74" t="n">
        <v>48.25</v>
      </c>
      <c r="Q5" s="74" t="n">
        <v>49.15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0.01847826086956522</v>
      </c>
      <c r="O6" s="73" t="inlineStr">
        <is>
          <t>Yapıkredi</t>
        </is>
      </c>
      <c r="P6" s="74" t="n">
        <v>55.2</v>
      </c>
      <c r="Q6" s="74" t="n">
        <v>56.22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3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0.02019140641324919</v>
      </c>
      <c r="O7" s="79" t="inlineStr">
        <is>
          <t>Ziraat Bankası</t>
        </is>
      </c>
      <c r="P7" s="74" t="n">
        <v>6699.88</v>
      </c>
      <c r="Q7" s="74" t="n">
        <v>6835.16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0.0321032666758613</v>
      </c>
      <c r="I10" s="69" t="n">
        <v>0.03210419580555215</v>
      </c>
      <c r="J10" s="70" t="n">
        <v>0.04610890191170894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0.0362049731616311</v>
      </c>
      <c r="I11" s="69" t="n">
        <v>0.03631602354297134</v>
      </c>
      <c r="J11" s="70" t="n">
        <v>0.04923398426869374</v>
      </c>
    </row>
    <row r="12">
      <c r="F12" s="64" t="inlineStr">
        <is>
          <t>Eylül 2026</t>
        </is>
      </c>
      <c r="G12" s="73" t="inlineStr">
        <is>
          <t>Yapıkredi</t>
        </is>
      </c>
      <c r="H12" s="68" t="n">
        <v>0.02918601267711402</v>
      </c>
      <c r="I12" s="69" t="n">
        <v>0.02732523637359915</v>
      </c>
      <c r="J12" s="70" t="n">
        <v>0.04233637651288224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0.03131638458853807</v>
      </c>
      <c r="I13" s="69" t="n">
        <v>0.03131632714651213</v>
      </c>
      <c r="J13" s="70" t="n">
        <v>0.05414526381004181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0.03272511551990184</v>
      </c>
      <c r="I14" s="69" t="n">
        <v>0.03283191408155445</v>
      </c>
      <c r="J14" s="70" t="n">
        <v>0.05567709719182421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0.0321032666758613</v>
      </c>
      <c r="V3" s="55" t="n">
        <v>0.0362049731616311</v>
      </c>
      <c r="W3" s="55" t="n">
        <v>0.02918601267711402</v>
      </c>
      <c r="X3" s="55" t="n">
        <v>0.03131638458853807</v>
      </c>
      <c r="Y3" s="55" t="n">
        <v>0.03272511551990184</v>
      </c>
      <c r="Z3" s="55" t="n">
        <v>0.03210419580555215</v>
      </c>
      <c r="AA3" s="55" t="n">
        <v>0.03631602354297134</v>
      </c>
      <c r="AB3" s="55" t="n">
        <v>0.02732523637359915</v>
      </c>
      <c r="AC3" s="55" t="n">
        <v>0.03131632714651213</v>
      </c>
      <c r="AD3" s="55" t="n">
        <v>0.03283191408155445</v>
      </c>
      <c r="AE3" s="55" t="n">
        <v>0.04610890191170894</v>
      </c>
      <c r="AF3" s="55" t="n">
        <v>0.04923398426869374</v>
      </c>
      <c r="AG3" s="55" t="n">
        <v>0.04233637651288224</v>
      </c>
      <c r="AH3" s="55" t="n">
        <v>0.05414526381004181</v>
      </c>
      <c r="AI3" s="55" t="n">
        <v>0.05567709719182421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2026-09-22T08:14:02Z</dcterms:created>
  <dcterms:modified xsi:type="dcterms:W3CDTF">2026-09-22T08:14:03Z</dcterms:modified>
</cp:coreProperties>
</file>