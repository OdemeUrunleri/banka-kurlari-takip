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'GRAFIK_VERILERI'!$B$2:$B$54</f>
              <numCache>
                <formatCode>0.00%</formatCode>
                <ptCount val="5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'GRAFIK_VERILERI'!$C$2:$C$54</f>
              <numCache>
                <formatCode>0.00%</formatCode>
                <ptCount val="5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'GRAFIK_VERILERI'!$D$2:$D$54</f>
              <numCache>
                <formatCode>0.00%</formatCode>
                <ptCount val="5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'GRAFIK_VERILERI'!$E$2:$E$54</f>
              <numCache>
                <formatCode>0.00%</formatCode>
                <ptCount val="5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'GRAFIK_VERILERI'!$F$2:$F$54</f>
              <numCache>
                <formatCode>0.00%</formatCode>
                <ptCount val="5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'GRAFIK_VERILERI'!$G$2:$G$54</f>
              <numCache>
                <formatCode>0.00%</formatCode>
                <ptCount val="5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'GRAFIK_VERILERI'!$H$2:$H$54</f>
              <numCache>
                <formatCode>0.00%</formatCode>
                <ptCount val="5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'GRAFIK_VERILERI'!$I$2:$I$54</f>
              <numCache>
                <formatCode>0.00%</formatCode>
                <ptCount val="5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'GRAFIK_VERILERI'!$J$2:$J$54</f>
              <numCache>
                <formatCode>0.00%</formatCode>
                <ptCount val="5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'GRAFIK_VERILERI'!$K$2:$K$54</f>
              <numCache>
                <formatCode>0.00%</formatCode>
                <ptCount val="5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'GRAFIK_VERILERI'!$L$2:$L$54</f>
              <numCache>
                <formatCode>0.00%</formatCode>
                <ptCount val="5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'GRAFIK_VERILERI'!$M$2:$M$54</f>
              <numCache>
                <formatCode>0.00%</formatCode>
                <ptCount val="5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'GRAFIK_VERILERI'!$N$2:$N$54</f>
              <numCache>
                <formatCode>0.00%</formatCode>
                <ptCount val="5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'GRAFIK_VERILERI'!$O$2:$O$54</f>
              <numCache>
                <formatCode>0.00%</formatCode>
                <ptCount val="5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'GRAFIK_VERILERI'!$P$2:$P$54</f>
              <numCache>
                <formatCode>0.00%</formatCode>
                <ptCount val="5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0.03220767394250362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0.03687550887751163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0.03172679670734899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0.03306695496198709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0.03421670282034121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0.03220548877896124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0.0369513940898832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0.03032893088982443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0.03306718170691175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0.03432834914752231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0.04440316208507993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0.05052894232119574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0.04737411167461091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0.05950635099084592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0.06084589151271783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'GRAFIK_VERILERI'!$B$2:$B$54</f>
              <numCache>
                <formatCode>0.00%</formatCode>
                <ptCount val="5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0538656362869"/>
          <min val="0.0247513195342954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'GRAFIK_VERILERI'!$G$2:$G$54</f>
              <numCache>
                <formatCode>0.00%</formatCode>
                <ptCount val="5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397305457812"/>
          <min val="0.024739253433346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'GRAFIK_VERILERI'!$L$2:$L$54</f>
              <numCache>
                <formatCode>0.00%</formatCode>
                <ptCount val="5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71988942525"/>
          <min val="0.022971401746513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'GRAFIK_VERILERI'!$C$2:$C$54</f>
              <numCache>
                <formatCode>0.00%</formatCode>
                <ptCount val="5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5665723102679"/>
          <min val="0.021677606927161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'GRAFIK_VERILERI'!$H$2:$H$54</f>
              <numCache>
                <formatCode>0.00%</formatCode>
                <ptCount val="5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705628511193"/>
          <min val="0.0217148937321578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'GRAFIK_VERILERI'!$M$2:$M$54</f>
              <numCache>
                <formatCode>0.00%</formatCode>
                <ptCount val="5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2047590991014"/>
          <min val="0.0251941839633032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'GRAFIK_VERILERI'!$D$2:$D$54</f>
              <numCache>
                <formatCode>0.00%</formatCode>
                <ptCount val="5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'GRAFIK_VERILERI'!$I$2:$I$54</f>
              <numCache>
                <formatCode>0.00%</formatCode>
                <ptCount val="5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'GRAFIK_VERILERI'!$N$2:$N$54</f>
              <numCache>
                <formatCode>0.00%</formatCode>
                <ptCount val="5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'GRAFIK_VERILERI'!$E$2:$E$54</f>
              <numCache>
                <formatCode>0.00%</formatCode>
                <ptCount val="5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'GRAFIK_VERILERI'!$J$2:$J$54</f>
              <numCache>
                <formatCode>0.00%</formatCode>
                <ptCount val="5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'GRAFIK_VERILERI'!$O$2:$O$54</f>
              <numCache>
                <formatCode>0.00%</formatCode>
                <ptCount val="5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'GRAFIK_VERILERI'!$F$2:$F$54</f>
              <numCache>
                <formatCode>0.00%</formatCode>
                <ptCount val="5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'GRAFIK_VERILERI'!$K$2:$K$54</f>
              <numCache>
                <formatCode>0.00%</formatCode>
                <ptCount val="5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'GRAFIK_VERILERI'!$A$2:$A$54</f>
              <strCache>
                <ptCount val="5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</strCache>
            </strRef>
          </cat>
          <val>
            <numRef>
              <f>'GRAFIK_VERILERI'!$P$2:$P$54</f>
              <numCache>
                <formatCode>0.00%</formatCode>
                <ptCount val="5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716" headerRowCount="1">
  <autoFilter ref="A1:N5716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table" Target="/xl/tables/table2.xml" Id="rId57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46314</v>
      </c>
      <c r="B2" s="6" t="n">
        <v>0.4436921296296296</v>
      </c>
      <c r="C2" s="7" t="inlineStr">
        <is>
          <t>Akbank</t>
        </is>
      </c>
      <c r="D2" s="8" t="n">
        <v>48.756</v>
      </c>
      <c r="E2" s="8" t="n">
        <v>50.106</v>
      </c>
      <c r="F2" s="8" t="n">
        <v>1.35</v>
      </c>
      <c r="G2" s="9" t="n">
        <v>0.02768889982771351</v>
      </c>
      <c r="H2" s="10" t="n">
        <v>54.6604</v>
      </c>
      <c r="I2" s="10" t="n">
        <v>56.1788</v>
      </c>
      <c r="J2" s="10" t="n">
        <v>1.5184</v>
      </c>
      <c r="K2" s="11" t="n">
        <v>0.02777879415445185</v>
      </c>
      <c r="L2" s="12" t="n">
        <v>6495.63</v>
      </c>
      <c r="M2" s="12" t="n">
        <v>6724.17</v>
      </c>
      <c r="N2" s="12" t="n">
        <v>228.54</v>
      </c>
      <c r="O2" s="13" t="n">
        <v>0.03518365424138998</v>
      </c>
    </row>
    <row r="3">
      <c r="A3" s="5" t="n">
        <v>46314</v>
      </c>
      <c r="B3" s="6" t="n">
        <v>0.4436921296296296</v>
      </c>
      <c r="C3" s="14" t="inlineStr">
        <is>
          <t>Albaraka Türk</t>
        </is>
      </c>
      <c r="D3" s="8" t="n">
        <v>49.082</v>
      </c>
      <c r="E3" s="8" t="n">
        <v>49.803</v>
      </c>
      <c r="F3" s="8" t="n">
        <v>0.721</v>
      </c>
      <c r="G3" s="9" t="n">
        <v>0.01468970294609022</v>
      </c>
      <c r="H3" s="10" t="n">
        <v>55.02</v>
      </c>
      <c r="I3" s="10" t="n">
        <v>55.835</v>
      </c>
      <c r="J3" s="10" t="n">
        <v>0.8149999999999999</v>
      </c>
      <c r="K3" s="11" t="n">
        <v>0.01481279534714649</v>
      </c>
      <c r="L3" s="12" t="n">
        <v>6557.19</v>
      </c>
      <c r="M3" s="12" t="n">
        <v>6680.99</v>
      </c>
      <c r="N3" s="12" t="n">
        <v>123.8</v>
      </c>
      <c r="O3" s="13" t="n">
        <v>0.01888003855309973</v>
      </c>
    </row>
    <row r="4">
      <c r="A4" s="5" t="n">
        <v>46314</v>
      </c>
      <c r="B4" s="6" t="n">
        <v>0.4436921296296296</v>
      </c>
      <c r="C4" s="15" t="inlineStr">
        <is>
          <t>Alternatif Bank</t>
        </is>
      </c>
      <c r="D4" s="8" t="n">
        <v>49.337</v>
      </c>
      <c r="E4" s="8" t="n">
        <v>49.628</v>
      </c>
      <c r="F4" s="8" t="n">
        <v>0.291</v>
      </c>
      <c r="G4" s="9" t="n">
        <v>0.005898210268155745</v>
      </c>
      <c r="H4" s="10" t="n">
        <v>55.142</v>
      </c>
      <c r="I4" s="10" t="n">
        <v>55.643</v>
      </c>
      <c r="J4" s="10" t="n">
        <v>0.501</v>
      </c>
      <c r="K4" s="11" t="n">
        <v>0.009085633455442312</v>
      </c>
      <c r="L4" s="12" t="n">
        <v>6628.3</v>
      </c>
      <c r="M4" s="12" t="n">
        <v>6694.01</v>
      </c>
      <c r="N4" s="12" t="n">
        <v>65.70999999999999</v>
      </c>
      <c r="O4" s="13" t="n">
        <v>0.009913552494606461</v>
      </c>
    </row>
    <row r="5">
      <c r="A5" s="5" t="n">
        <v>46314</v>
      </c>
      <c r="B5" s="6" t="n">
        <v>0.4436921296296296</v>
      </c>
      <c r="C5" s="16" t="inlineStr">
        <is>
          <t>Altınkaynak</t>
        </is>
      </c>
      <c r="D5" s="8" t="n">
        <v>49.41</v>
      </c>
      <c r="E5" s="8" t="n">
        <v>49.6</v>
      </c>
      <c r="F5" s="8" t="n">
        <v>0.19</v>
      </c>
      <c r="G5" s="9" t="n">
        <v>0.003845375430074884</v>
      </c>
      <c r="H5" s="10" t="n">
        <v>55.254</v>
      </c>
      <c r="I5" s="10" t="n">
        <v>55.605</v>
      </c>
      <c r="J5" s="10" t="n">
        <v>0.351</v>
      </c>
      <c r="K5" s="11" t="n">
        <v>0.006352481268324464</v>
      </c>
      <c r="L5" s="12" t="n">
        <v>6590</v>
      </c>
      <c r="M5" s="12" t="n">
        <v>6730</v>
      </c>
      <c r="N5" s="12" t="n">
        <v>140</v>
      </c>
      <c r="O5" s="13" t="n">
        <v>0.0212443095599393</v>
      </c>
    </row>
    <row r="6">
      <c r="A6" s="5" t="n">
        <v>46314</v>
      </c>
      <c r="B6" s="6" t="n">
        <v>0.4436921296296296</v>
      </c>
      <c r="C6" s="17" t="inlineStr">
        <is>
          <t>Anadolubank</t>
        </is>
      </c>
      <c r="D6" s="8" t="n">
        <v>48.707</v>
      </c>
      <c r="E6" s="8" t="n">
        <v>49.9834</v>
      </c>
      <c r="F6" s="8" t="n">
        <v>1.2764</v>
      </c>
      <c r="G6" s="9" t="n">
        <v>0.02620567885519536</v>
      </c>
      <c r="H6" s="10" t="n">
        <v>54.6739</v>
      </c>
      <c r="I6" s="10" t="n">
        <v>56.0392</v>
      </c>
      <c r="J6" s="10" t="n">
        <v>1.3653</v>
      </c>
      <c r="K6" s="11" t="n">
        <v>0.02497169581829721</v>
      </c>
      <c r="L6" s="12" t="n">
        <v>6550.24</v>
      </c>
      <c r="M6" s="12" t="n">
        <v>6701.19</v>
      </c>
      <c r="N6" s="12" t="n">
        <v>150.95</v>
      </c>
      <c r="O6" s="13" t="n">
        <v>0.02304495713134175</v>
      </c>
    </row>
    <row r="7">
      <c r="A7" s="5" t="n">
        <v>46314</v>
      </c>
      <c r="B7" s="6" t="n">
        <v>0.4436921296296296</v>
      </c>
      <c r="C7" s="18" t="inlineStr">
        <is>
          <t>CEPTETEB</t>
        </is>
      </c>
      <c r="D7" s="8" t="n">
        <v>48.531</v>
      </c>
      <c r="E7" s="8" t="n">
        <v>50.503</v>
      </c>
      <c r="F7" s="8" t="n">
        <v>1.972</v>
      </c>
      <c r="G7" s="9" t="n">
        <v>0.04063382168098741</v>
      </c>
      <c r="H7" s="10" t="n">
        <v>54.403</v>
      </c>
      <c r="I7" s="10" t="n">
        <v>56.618</v>
      </c>
      <c r="J7" s="10" t="n">
        <v>2.215</v>
      </c>
      <c r="K7" s="11" t="n">
        <v>0.04071466647059904</v>
      </c>
      <c r="L7" s="12" t="n">
        <v>6543.32</v>
      </c>
      <c r="M7" s="12" t="n">
        <v>6741.92</v>
      </c>
      <c r="N7" s="12" t="n">
        <v>198.6</v>
      </c>
      <c r="O7" s="13" t="n">
        <v>0.03035156464913836</v>
      </c>
    </row>
    <row r="8">
      <c r="A8" s="5" t="n">
        <v>46314</v>
      </c>
      <c r="B8" s="6" t="n">
        <v>0.4436921296296296</v>
      </c>
      <c r="C8" s="19" t="inlineStr">
        <is>
          <t>Denizbank</t>
        </is>
      </c>
      <c r="D8" s="8" t="n">
        <v>48.8087</v>
      </c>
      <c r="E8" s="8" t="n">
        <v>50.2088</v>
      </c>
      <c r="F8" s="8" t="n">
        <v>1.4001</v>
      </c>
      <c r="G8" s="9" t="n">
        <v>0.02868545976434529</v>
      </c>
      <c r="H8" s="10" t="n">
        <v>54.7188</v>
      </c>
      <c r="I8" s="10" t="n">
        <v>56.2884</v>
      </c>
      <c r="J8" s="10" t="n">
        <v>1.5696</v>
      </c>
      <c r="K8" s="11" t="n">
        <v>0.02868483957981535</v>
      </c>
      <c r="L8" s="12" t="n">
        <v>6567.04</v>
      </c>
      <c r="M8" s="12" t="n">
        <v>6756.39</v>
      </c>
      <c r="N8" s="12" t="n">
        <v>189.35</v>
      </c>
      <c r="O8" s="13" t="n">
        <v>0.02883338612221031</v>
      </c>
    </row>
    <row r="9">
      <c r="A9" s="5" t="n">
        <v>46314</v>
      </c>
      <c r="B9" s="6" t="n">
        <v>0.4436921296296296</v>
      </c>
      <c r="C9" s="20" t="inlineStr">
        <is>
          <t>DestekBank</t>
        </is>
      </c>
      <c r="D9" s="8" t="n">
        <v>49.4404</v>
      </c>
      <c r="E9" s="8" t="n">
        <v>49.5734</v>
      </c>
      <c r="F9" s="8" t="n">
        <v>0.133</v>
      </c>
      <c r="G9" s="9" t="n">
        <v>0.002690107685212903</v>
      </c>
      <c r="H9" s="10" t="n">
        <v>55.4029</v>
      </c>
      <c r="I9" s="10" t="n">
        <v>55.577</v>
      </c>
      <c r="J9" s="10" t="n">
        <v>0.1741</v>
      </c>
      <c r="K9" s="11" t="n">
        <v>0.00314243478229479</v>
      </c>
      <c r="L9" s="12" t="n">
        <v>6560.59</v>
      </c>
      <c r="M9" s="12" t="n">
        <v>6692.17</v>
      </c>
      <c r="N9" s="12" t="n">
        <v>131.58</v>
      </c>
      <c r="O9" s="13" t="n">
        <v>0.02005612300113252</v>
      </c>
    </row>
    <row r="10">
      <c r="A10" s="5" t="n">
        <v>46314</v>
      </c>
      <c r="B10" s="6" t="n">
        <v>0.4436921296296296</v>
      </c>
      <c r="C10" s="21" t="inlineStr">
        <is>
          <t>Dünya Katılım</t>
        </is>
      </c>
      <c r="D10" s="8" t="n">
        <v>49.462</v>
      </c>
      <c r="E10" s="8" t="n">
        <v>49.554</v>
      </c>
      <c r="F10" s="8" t="n">
        <v>0.092</v>
      </c>
      <c r="G10" s="9" t="n">
        <v>0.001860013747927702</v>
      </c>
      <c r="H10" s="10" t="n">
        <v>55.3813</v>
      </c>
      <c r="I10" s="10" t="n">
        <v>55.579</v>
      </c>
      <c r="J10" s="10" t="n">
        <v>0.1977</v>
      </c>
      <c r="K10" s="11" t="n">
        <v>0.003569797025349712</v>
      </c>
      <c r="L10" s="12" t="n">
        <v>6609.48</v>
      </c>
      <c r="M10" s="12" t="n">
        <v>6644.19</v>
      </c>
      <c r="N10" s="12" t="n">
        <v>34.71</v>
      </c>
      <c r="O10" s="13" t="n">
        <v>0.005251547776829645</v>
      </c>
    </row>
    <row r="11">
      <c r="A11" s="5" t="n">
        <v>46314</v>
      </c>
      <c r="B11" s="6" t="n">
        <v>0.4436921296296296</v>
      </c>
      <c r="C11" s="22" t="inlineStr">
        <is>
          <t>Emlak Katılım</t>
        </is>
      </c>
      <c r="D11" s="8" t="n">
        <v>49.171</v>
      </c>
      <c r="E11" s="8" t="n">
        <v>50.4398</v>
      </c>
      <c r="F11" s="8" t="n">
        <v>1.2688</v>
      </c>
      <c r="G11" s="9" t="n">
        <v>0.02580382745927478</v>
      </c>
      <c r="H11" s="10" t="n">
        <v>55.023</v>
      </c>
      <c r="I11" s="10" t="n">
        <v>56.2889</v>
      </c>
      <c r="J11" s="10" t="n">
        <v>1.2659</v>
      </c>
      <c r="K11" s="11" t="n">
        <v>0.02300674263489813</v>
      </c>
      <c r="L11" s="12" t="n">
        <v>6584.12</v>
      </c>
      <c r="M11" s="12" t="n">
        <v>6659.84</v>
      </c>
      <c r="N11" s="12" t="n">
        <v>75.72</v>
      </c>
      <c r="O11" s="13" t="n">
        <v>0.01150039792713377</v>
      </c>
    </row>
    <row r="12">
      <c r="A12" s="5" t="n">
        <v>46314</v>
      </c>
      <c r="B12" s="6" t="n">
        <v>0.4436921296296296</v>
      </c>
      <c r="C12" s="23" t="inlineStr">
        <is>
          <t>Enpara</t>
        </is>
      </c>
      <c r="D12" s="8" t="n">
        <v>49.0025</v>
      </c>
      <c r="E12" s="8" t="n">
        <v>49.8025</v>
      </c>
      <c r="F12" s="8" t="n">
        <v>0.8</v>
      </c>
      <c r="G12" s="9" t="n">
        <v>0.0163256976684863</v>
      </c>
      <c r="H12" s="10" t="n">
        <v>54.8769</v>
      </c>
      <c r="I12" s="10" t="n">
        <v>55.8894</v>
      </c>
      <c r="J12" s="10" t="n">
        <v>1.0125</v>
      </c>
      <c r="K12" s="11" t="n">
        <v>0.01845038622808504</v>
      </c>
      <c r="L12" s="12" t="n">
        <v>6552.97</v>
      </c>
      <c r="M12" s="12" t="n">
        <v>6682.54</v>
      </c>
      <c r="N12" s="12" t="n">
        <v>129.57</v>
      </c>
      <c r="O12" s="13" t="n">
        <v>0.01977271374659124</v>
      </c>
    </row>
    <row r="13">
      <c r="A13" s="5" t="n">
        <v>46314</v>
      </c>
      <c r="B13" s="6" t="n">
        <v>0.4436921296296296</v>
      </c>
      <c r="C13" s="24" t="inlineStr">
        <is>
          <t>Fibabanka</t>
        </is>
      </c>
      <c r="D13" s="8" t="n">
        <v>49.2523</v>
      </c>
      <c r="E13" s="8" t="n">
        <v>49.8594</v>
      </c>
      <c r="F13" s="8" t="n">
        <v>0.6071</v>
      </c>
      <c r="G13" s="9" t="n">
        <v>0.01232632790752919</v>
      </c>
      <c r="H13" s="10" t="n">
        <v>55.2267</v>
      </c>
      <c r="I13" s="10" t="n">
        <v>55.8869</v>
      </c>
      <c r="J13" s="10" t="n">
        <v>0.6602</v>
      </c>
      <c r="K13" s="11" t="n">
        <v>0.01195436265429584</v>
      </c>
      <c r="L13" s="12" t="n">
        <v>6639.25</v>
      </c>
      <c r="M13" s="12" t="n">
        <v>6693.47</v>
      </c>
      <c r="N13" s="12" t="n">
        <v>54.22</v>
      </c>
      <c r="O13" s="13" t="n">
        <v>0.008166585081146214</v>
      </c>
    </row>
    <row r="14">
      <c r="A14" s="5" t="n">
        <v>46314</v>
      </c>
      <c r="B14" s="6" t="n">
        <v>0.4436921296296296</v>
      </c>
      <c r="C14" s="25" t="inlineStr">
        <is>
          <t>Garanti BBVA</t>
        </is>
      </c>
      <c r="D14" s="8" t="n">
        <v>48.708</v>
      </c>
      <c r="E14" s="8" t="n">
        <v>50.058</v>
      </c>
      <c r="F14" s="8" t="n">
        <v>1.35</v>
      </c>
      <c r="G14" s="9" t="n">
        <v>0.02771618625277162</v>
      </c>
      <c r="H14" s="10" t="n">
        <v>54.607</v>
      </c>
      <c r="I14" s="10" t="n">
        <v>56.12</v>
      </c>
      <c r="J14" s="10" t="n">
        <v>1.513</v>
      </c>
      <c r="K14" s="11" t="n">
        <v>0.02770707052209424</v>
      </c>
      <c r="L14" s="12" t="n">
        <v>6563.3</v>
      </c>
      <c r="M14" s="12" t="n">
        <v>6766.28</v>
      </c>
      <c r="N14" s="12" t="n">
        <v>202.98</v>
      </c>
      <c r="O14" s="13" t="n">
        <v>0.03092651562476193</v>
      </c>
    </row>
    <row r="15">
      <c r="A15" s="5" t="n">
        <v>46314</v>
      </c>
      <c r="B15" s="6" t="n">
        <v>0.4436921296296296</v>
      </c>
      <c r="C15" s="26" t="inlineStr">
        <is>
          <t>Getirfinans</t>
        </is>
      </c>
      <c r="D15" s="8" t="n">
        <v>49.2523</v>
      </c>
      <c r="E15" s="8" t="n">
        <v>49.8593</v>
      </c>
      <c r="F15" s="8" t="n">
        <v>0.607</v>
      </c>
      <c r="G15" s="9" t="n">
        <v>0.01232429754549534</v>
      </c>
      <c r="H15" s="10" t="n">
        <v>55.2182</v>
      </c>
      <c r="I15" s="10" t="n">
        <v>55.879</v>
      </c>
      <c r="J15" s="10" t="n">
        <v>0.6608000000000001</v>
      </c>
      <c r="K15" s="11" t="n">
        <v>0.01196706882875574</v>
      </c>
      <c r="L15" s="12" t="n">
        <v>6633.45</v>
      </c>
      <c r="M15" s="12" t="n">
        <v>6688.03</v>
      </c>
      <c r="N15" s="12" t="n">
        <v>54.58</v>
      </c>
      <c r="O15" s="13" t="n">
        <v>0.008227995990020276</v>
      </c>
    </row>
    <row r="16">
      <c r="A16" s="5" t="n">
        <v>46314</v>
      </c>
      <c r="B16" s="6" t="n">
        <v>0.4436921296296296</v>
      </c>
      <c r="C16" s="27" t="inlineStr">
        <is>
          <t>Halkbank</t>
        </is>
      </c>
      <c r="D16" s="8" t="n">
        <v>49.1223</v>
      </c>
      <c r="E16" s="8" t="n">
        <v>50.1123</v>
      </c>
      <c r="F16" s="8" t="n">
        <v>0.99</v>
      </c>
      <c r="G16" s="9" t="n">
        <v>0.02015377944436641</v>
      </c>
      <c r="H16" s="10" t="n">
        <v>55.0686</v>
      </c>
      <c r="I16" s="10" t="n">
        <v>56.1784</v>
      </c>
      <c r="J16" s="10" t="n">
        <v>1.1098</v>
      </c>
      <c r="K16" s="11" t="n">
        <v>0.02015304547419037</v>
      </c>
      <c r="L16" s="12" t="n">
        <v>6567.81</v>
      </c>
      <c r="M16" s="12" t="n">
        <v>6767.42</v>
      </c>
      <c r="N16" s="12" t="n">
        <v>199.61</v>
      </c>
      <c r="O16" s="13" t="n">
        <v>0.03039217029725281</v>
      </c>
    </row>
    <row r="17">
      <c r="A17" s="5" t="n">
        <v>46314</v>
      </c>
      <c r="B17" s="6" t="n">
        <v>0.4436921296296296</v>
      </c>
      <c r="C17" s="28" t="inlineStr">
        <is>
          <t>Harem</t>
        </is>
      </c>
      <c r="D17" s="8" t="n">
        <v>49.4604</v>
      </c>
      <c r="E17" s="8" t="n">
        <v>49.5185</v>
      </c>
      <c r="F17" s="8" t="n">
        <v>0.0581</v>
      </c>
      <c r="G17" s="9" t="n">
        <v>0.001174677115429717</v>
      </c>
      <c r="H17" s="10" t="n">
        <v>55.305</v>
      </c>
      <c r="I17" s="10" t="n">
        <v>55.467</v>
      </c>
      <c r="J17" s="10" t="n">
        <v>0.162</v>
      </c>
      <c r="K17" s="11" t="n">
        <v>0.002929210740439381</v>
      </c>
      <c r="L17" s="12" t="n">
        <v>6597.92</v>
      </c>
      <c r="M17" s="12" t="n">
        <v>6672.75</v>
      </c>
      <c r="N17" s="12" t="n">
        <v>74.83</v>
      </c>
      <c r="O17" s="13" t="n">
        <v>0.01134145306399593</v>
      </c>
    </row>
    <row r="18">
      <c r="A18" s="5" t="n">
        <v>46314</v>
      </c>
      <c r="B18" s="6" t="n">
        <v>0.4436921296296296</v>
      </c>
      <c r="C18" s="29" t="inlineStr">
        <is>
          <t>Hayat Finans</t>
        </is>
      </c>
      <c r="D18" s="8" t="n">
        <v>49.4715</v>
      </c>
      <c r="E18" s="8" t="n">
        <v>49.6213</v>
      </c>
      <c r="F18" s="8" t="n">
        <v>0.1498</v>
      </c>
      <c r="G18" s="9" t="n">
        <v>0.003028006023670194</v>
      </c>
      <c r="H18" s="10" t="n">
        <v>55.4417</v>
      </c>
      <c r="I18" s="10" t="n">
        <v>55.6116</v>
      </c>
      <c r="J18" s="10" t="n">
        <v>0.1699</v>
      </c>
      <c r="K18" s="11" t="n">
        <v>0.003064480346021135</v>
      </c>
      <c r="L18" s="12" t="n">
        <v>6622.57</v>
      </c>
      <c r="M18" s="12" t="n">
        <v>6669.37</v>
      </c>
      <c r="N18" s="12" t="n">
        <v>46.8</v>
      </c>
      <c r="O18" s="13" t="n">
        <v>0.007066742971384221</v>
      </c>
    </row>
    <row r="19">
      <c r="A19" s="5" t="n">
        <v>46314</v>
      </c>
      <c r="B19" s="6" t="n">
        <v>0.4436921296296296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6504.29</v>
      </c>
      <c r="M19" s="12" t="n">
        <v>6695.62</v>
      </c>
      <c r="N19" s="12" t="n">
        <v>191.33</v>
      </c>
      <c r="O19" s="13" t="n">
        <v>0.02941597007513503</v>
      </c>
    </row>
    <row r="20">
      <c r="A20" s="5" t="n">
        <v>46314</v>
      </c>
      <c r="B20" s="6" t="n">
        <v>0.4436921296296296</v>
      </c>
      <c r="C20" s="31" t="inlineStr">
        <is>
          <t>HSBC</t>
        </is>
      </c>
      <c r="D20" s="8" t="n">
        <v>49.057</v>
      </c>
      <c r="E20" s="8" t="n">
        <v>49.9439</v>
      </c>
      <c r="F20" s="8" t="n">
        <v>0.8869</v>
      </c>
      <c r="G20" s="9" t="n">
        <v>0.01807896936217054</v>
      </c>
      <c r="H20" s="10" t="n">
        <v>54.9738</v>
      </c>
      <c r="I20" s="10" t="n">
        <v>56.0342</v>
      </c>
      <c r="J20" s="10" t="n">
        <v>1.0604</v>
      </c>
      <c r="K20" s="11" t="n">
        <v>0.01928918866805642</v>
      </c>
      <c r="L20" s="12" t="n">
        <v>6566.62</v>
      </c>
      <c r="M20" s="12" t="n">
        <v>7012.57</v>
      </c>
      <c r="N20" s="12" t="n">
        <v>445.95</v>
      </c>
      <c r="O20" s="13" t="n">
        <v>0.06791165013355424</v>
      </c>
    </row>
    <row r="21">
      <c r="A21" s="5" t="n">
        <v>46314</v>
      </c>
      <c r="B21" s="6" t="n">
        <v>0.4436921296296296</v>
      </c>
      <c r="C21" s="32" t="inlineStr">
        <is>
          <t>ING Bank</t>
        </is>
      </c>
      <c r="D21" s="8" t="n">
        <v>49.0064</v>
      </c>
      <c r="E21" s="8" t="n">
        <v>50.0101</v>
      </c>
      <c r="F21" s="8" t="n">
        <v>1.0037</v>
      </c>
      <c r="G21" s="9" t="n">
        <v>0.02048099840020895</v>
      </c>
      <c r="H21" s="10" t="n">
        <v>54.9993</v>
      </c>
      <c r="I21" s="10" t="n">
        <v>56.0058</v>
      </c>
      <c r="J21" s="10" t="n">
        <v>1.0065</v>
      </c>
      <c r="K21" s="11" t="n">
        <v>0.01830023291205525</v>
      </c>
      <c r="L21" s="12" t="n">
        <v>6509.06</v>
      </c>
      <c r="M21" s="12" t="n">
        <v>6811.03</v>
      </c>
      <c r="N21" s="12" t="n">
        <v>301.97</v>
      </c>
      <c r="O21" s="13" t="n">
        <v>0.04639225940458377</v>
      </c>
    </row>
    <row r="22">
      <c r="A22" s="5" t="n">
        <v>46314</v>
      </c>
      <c r="B22" s="6" t="n">
        <v>0.4436921296296296</v>
      </c>
      <c r="C22" s="33" t="inlineStr">
        <is>
          <t>İş Bankası</t>
        </is>
      </c>
      <c r="D22" s="8" t="n">
        <v>48.9174</v>
      </c>
      <c r="E22" s="8" t="n">
        <v>50.105</v>
      </c>
      <c r="F22" s="8" t="n">
        <v>1.1876</v>
      </c>
      <c r="G22" s="9" t="n">
        <v>0.02427765989198118</v>
      </c>
      <c r="H22" s="10" t="n">
        <v>54.8315</v>
      </c>
      <c r="I22" s="10" t="n">
        <v>56.1727</v>
      </c>
      <c r="J22" s="10" t="n">
        <v>1.3412</v>
      </c>
      <c r="K22" s="11" t="n">
        <v>0.02446039229275143</v>
      </c>
      <c r="L22" s="12" t="n">
        <v>6556.11</v>
      </c>
      <c r="M22" s="12" t="n">
        <v>6736.05</v>
      </c>
      <c r="N22" s="12" t="n">
        <v>179.94</v>
      </c>
      <c r="O22" s="13" t="n">
        <v>0.0274461532829681</v>
      </c>
    </row>
    <row r="23">
      <c r="A23" s="5" t="n">
        <v>46314</v>
      </c>
      <c r="B23" s="6" t="n">
        <v>0.4436921296296296</v>
      </c>
      <c r="C23" s="34" t="inlineStr">
        <is>
          <t>Kapalıçarşı</t>
        </is>
      </c>
      <c r="D23" s="8" t="n">
        <v>49.46</v>
      </c>
      <c r="E23" s="8" t="n">
        <v>49.47</v>
      </c>
      <c r="F23" s="8" t="n">
        <v>0.01</v>
      </c>
      <c r="G23" s="9" t="n">
        <v>0.0002021835826930853</v>
      </c>
      <c r="H23" s="10" t="n">
        <v>55.45</v>
      </c>
      <c r="I23" s="10" t="n">
        <v>55.5</v>
      </c>
      <c r="J23" s="10" t="n">
        <v>0.05</v>
      </c>
      <c r="K23" s="11" t="n">
        <v>0.0009017132551848513</v>
      </c>
      <c r="L23" s="12" t="n">
        <v>6601.29</v>
      </c>
      <c r="M23" s="12" t="n">
        <v>6607.6</v>
      </c>
      <c r="N23" s="12" t="n">
        <v>6.31</v>
      </c>
      <c r="O23" s="13" t="n">
        <v>0.0009558737761861697</v>
      </c>
    </row>
    <row r="24">
      <c r="A24" s="5" t="n">
        <v>46314</v>
      </c>
      <c r="B24" s="6" t="n">
        <v>0.4436921296296296</v>
      </c>
      <c r="C24" s="35" t="inlineStr">
        <is>
          <t>Kuveyt Türk</t>
        </is>
      </c>
      <c r="D24" s="8" t="n">
        <v>49.0168</v>
      </c>
      <c r="E24" s="8" t="n">
        <v>49.9991</v>
      </c>
      <c r="F24" s="8" t="n">
        <v>0.9823</v>
      </c>
      <c r="G24" s="9" t="n">
        <v>0.02004006789508903</v>
      </c>
      <c r="H24" s="10" t="n">
        <v>54.7797</v>
      </c>
      <c r="I24" s="10" t="n">
        <v>55.892</v>
      </c>
      <c r="J24" s="10" t="n">
        <v>1.1123</v>
      </c>
      <c r="K24" s="11" t="n">
        <v>0.02030496698594552</v>
      </c>
      <c r="L24" s="12" t="n">
        <v>6515.35</v>
      </c>
      <c r="M24" s="12" t="n">
        <v>6688.04</v>
      </c>
      <c r="N24" s="12" t="n">
        <v>172.69</v>
      </c>
      <c r="O24" s="13" t="n">
        <v>0.02650509949580606</v>
      </c>
    </row>
    <row r="25">
      <c r="A25" s="5" t="n">
        <v>46314</v>
      </c>
      <c r="B25" s="6" t="n">
        <v>0.4436921296296296</v>
      </c>
      <c r="C25" s="36" t="inlineStr">
        <is>
          <t>Merkez Bankası</t>
        </is>
      </c>
      <c r="D25" s="8" t="n">
        <v>49.3573</v>
      </c>
      <c r="E25" s="8" t="n">
        <v>49.4463</v>
      </c>
      <c r="F25" s="8" t="n">
        <v>0.089</v>
      </c>
      <c r="G25" s="9" t="n">
        <v>0.001803178050663225</v>
      </c>
      <c r="H25" s="10" t="n">
        <v>55.5179</v>
      </c>
      <c r="I25" s="10" t="n">
        <v>55.618</v>
      </c>
      <c r="J25" s="10" t="n">
        <v>0.1001</v>
      </c>
      <c r="K25" s="11" t="n">
        <v>0.001803022088371498</v>
      </c>
      <c r="L25" s="12" t="n"/>
      <c r="M25" s="12" t="n"/>
      <c r="N25" s="12" t="n"/>
      <c r="O25" s="13" t="n"/>
    </row>
    <row r="26">
      <c r="A26" s="5" t="n">
        <v>46314</v>
      </c>
      <c r="B26" s="6" t="n">
        <v>0.4436921296296296</v>
      </c>
      <c r="C26" s="37" t="inlineStr">
        <is>
          <t>Misyon Bank</t>
        </is>
      </c>
      <c r="D26" s="8" t="n">
        <v>49.4606</v>
      </c>
      <c r="E26" s="8" t="n">
        <v>49.5503</v>
      </c>
      <c r="F26" s="8" t="n">
        <v>0.0897</v>
      </c>
      <c r="G26" s="9" t="n">
        <v>0.001813564736376025</v>
      </c>
      <c r="H26" s="10" t="n">
        <v>55.424</v>
      </c>
      <c r="I26" s="10" t="n">
        <v>55.569</v>
      </c>
      <c r="J26" s="10" t="n">
        <v>0.145</v>
      </c>
      <c r="K26" s="11" t="n">
        <v>0.002616195150115473</v>
      </c>
      <c r="L26" s="12" t="n">
        <v>6609.02</v>
      </c>
      <c r="M26" s="12" t="n">
        <v>6643.23</v>
      </c>
      <c r="N26" s="12" t="n">
        <v>34.21</v>
      </c>
      <c r="O26" s="13" t="n">
        <v>0.005176259112546187</v>
      </c>
    </row>
    <row r="27">
      <c r="A27" s="5" t="n">
        <v>46314</v>
      </c>
      <c r="B27" s="6" t="n">
        <v>0.4436921296296296</v>
      </c>
      <c r="C27" s="38" t="inlineStr">
        <is>
          <t>Odacı</t>
        </is>
      </c>
      <c r="D27" s="8" t="n">
        <v>49.443</v>
      </c>
      <c r="E27" s="8" t="n">
        <v>49.566</v>
      </c>
      <c r="F27" s="8" t="n">
        <v>0.123</v>
      </c>
      <c r="G27" s="9" t="n">
        <v>0.002487713124203629</v>
      </c>
      <c r="H27" s="10" t="n">
        <v>55.292</v>
      </c>
      <c r="I27" s="10" t="n">
        <v>55.493</v>
      </c>
      <c r="J27" s="10" t="n">
        <v>0.201</v>
      </c>
      <c r="K27" s="11" t="n">
        <v>0.003635245605150836</v>
      </c>
      <c r="L27" s="12" t="n">
        <v>6618</v>
      </c>
      <c r="M27" s="12" t="n">
        <v>6658</v>
      </c>
      <c r="N27" s="12" t="n">
        <v>40</v>
      </c>
      <c r="O27" s="13" t="n">
        <v>0.006044122091266244</v>
      </c>
    </row>
    <row r="28">
      <c r="A28" s="5" t="n">
        <v>46314</v>
      </c>
      <c r="B28" s="6" t="n">
        <v>0.4436921296296296</v>
      </c>
      <c r="C28" s="39" t="inlineStr">
        <is>
          <t>Odeabank</t>
        </is>
      </c>
      <c r="D28" s="8" t="n">
        <v>49.0135</v>
      </c>
      <c r="E28" s="8" t="n">
        <v>50.0135</v>
      </c>
      <c r="F28" s="8" t="n">
        <v>1</v>
      </c>
      <c r="G28" s="9" t="n">
        <v>0.02040254215675273</v>
      </c>
      <c r="H28" s="10" t="n">
        <v>54.962</v>
      </c>
      <c r="I28" s="10" t="n">
        <v>56.052</v>
      </c>
      <c r="J28" s="10" t="n">
        <v>1.09</v>
      </c>
      <c r="K28" s="11" t="n">
        <v>0.01983188384702158</v>
      </c>
      <c r="L28" s="12" t="n">
        <v>6615.42</v>
      </c>
      <c r="M28" s="12" t="n">
        <v>6715.42</v>
      </c>
      <c r="N28" s="12" t="n">
        <v>100</v>
      </c>
      <c r="O28" s="13" t="n">
        <v>0.01511619821568396</v>
      </c>
    </row>
    <row r="29">
      <c r="A29" s="5" t="n">
        <v>46314</v>
      </c>
      <c r="B29" s="6" t="n">
        <v>0.4436921296296296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6504.29</v>
      </c>
      <c r="M29" s="12" t="n">
        <v>6682.26</v>
      </c>
      <c r="N29" s="12" t="n">
        <v>177.97</v>
      </c>
      <c r="O29" s="13" t="n">
        <v>0.02736194111886155</v>
      </c>
    </row>
    <row r="30">
      <c r="A30" s="5" t="n">
        <v>46314</v>
      </c>
      <c r="B30" s="6" t="n">
        <v>0.4436921296296296</v>
      </c>
      <c r="C30" s="41" t="inlineStr">
        <is>
          <t>QNB Finansbank</t>
        </is>
      </c>
      <c r="D30" s="8" t="n">
        <v>48.7925</v>
      </c>
      <c r="E30" s="8" t="n">
        <v>50.3125</v>
      </c>
      <c r="F30" s="8" t="n">
        <v>1.52</v>
      </c>
      <c r="G30" s="9" t="n">
        <v>0.03115232873904801</v>
      </c>
      <c r="H30" s="10" t="n">
        <v>54.5815</v>
      </c>
      <c r="I30" s="10" t="n">
        <v>56.5238</v>
      </c>
      <c r="J30" s="10" t="n">
        <v>1.9423</v>
      </c>
      <c r="K30" s="11" t="n">
        <v>0.03558531736943836</v>
      </c>
      <c r="L30" s="12" t="n">
        <v>6517.78</v>
      </c>
      <c r="M30" s="12" t="n">
        <v>6749.94</v>
      </c>
      <c r="N30" s="12" t="n">
        <v>232.16</v>
      </c>
      <c r="O30" s="13" t="n">
        <v>0.0356194900717729</v>
      </c>
    </row>
    <row r="31">
      <c r="A31" s="5" t="n">
        <v>46314</v>
      </c>
      <c r="B31" s="6" t="n">
        <v>0.4436921296296296</v>
      </c>
      <c r="C31" s="42" t="inlineStr">
        <is>
          <t>TOM Bank Hadi</t>
        </is>
      </c>
      <c r="D31" s="8" t="n">
        <v>49.3936</v>
      </c>
      <c r="E31" s="8" t="n">
        <v>49.6908</v>
      </c>
      <c r="F31" s="8" t="n">
        <v>0.2972</v>
      </c>
      <c r="G31" s="9" t="n">
        <v>0.006016973858961485</v>
      </c>
      <c r="H31" s="10" t="n">
        <v>55.3187</v>
      </c>
      <c r="I31" s="10" t="n">
        <v>55.652</v>
      </c>
      <c r="J31" s="10" t="n">
        <v>0.3333</v>
      </c>
      <c r="K31" s="11" t="n">
        <v>0.006025087357439708</v>
      </c>
      <c r="L31" s="12" t="n">
        <v>6612.05</v>
      </c>
      <c r="M31" s="12" t="n">
        <v>6658.47</v>
      </c>
      <c r="N31" s="12" t="n">
        <v>46.42</v>
      </c>
      <c r="O31" s="13" t="n">
        <v>0.007020515573838673</v>
      </c>
    </row>
    <row r="32">
      <c r="A32" s="5" t="n">
        <v>46314</v>
      </c>
      <c r="B32" s="6" t="n">
        <v>0.4436921296296296</v>
      </c>
      <c r="C32" s="43" t="inlineStr">
        <is>
          <t>Türkiye Finans</t>
        </is>
      </c>
      <c r="D32" s="8" t="n">
        <v>49.1052</v>
      </c>
      <c r="E32" s="8" t="n">
        <v>49.9087</v>
      </c>
      <c r="F32" s="8" t="n">
        <v>0.8035</v>
      </c>
      <c r="G32" s="9" t="n">
        <v>0.01636282919120582</v>
      </c>
      <c r="H32" s="10" t="n">
        <v>55.071</v>
      </c>
      <c r="I32" s="10" t="n">
        <v>55.9232</v>
      </c>
      <c r="J32" s="10" t="n">
        <v>0.8522</v>
      </c>
      <c r="K32" s="11" t="n">
        <v>0.01547456919249696</v>
      </c>
      <c r="L32" s="12" t="n">
        <v>6565.22</v>
      </c>
      <c r="M32" s="12" t="n">
        <v>6761.45</v>
      </c>
      <c r="N32" s="12" t="n">
        <v>196.23</v>
      </c>
      <c r="O32" s="13" t="n">
        <v>0.02988932587179105</v>
      </c>
    </row>
    <row r="33">
      <c r="A33" s="5" t="n">
        <v>46314</v>
      </c>
      <c r="B33" s="6" t="n">
        <v>0.4436921296296296</v>
      </c>
      <c r="C33" s="44" t="inlineStr">
        <is>
          <t>Vakıf Katılım</t>
        </is>
      </c>
      <c r="D33" s="8" t="n">
        <v>49.4058</v>
      </c>
      <c r="E33" s="8" t="n">
        <v>49.6142</v>
      </c>
      <c r="F33" s="8" t="n">
        <v>0.2084</v>
      </c>
      <c r="G33" s="9" t="n">
        <v>0.004218128235956103</v>
      </c>
      <c r="H33" s="10" t="n">
        <v>55.3777</v>
      </c>
      <c r="I33" s="10" t="n">
        <v>55.6008</v>
      </c>
      <c r="J33" s="10" t="n">
        <v>0.2231</v>
      </c>
      <c r="K33" s="11" t="n">
        <v>0.00402869747208714</v>
      </c>
      <c r="L33" s="12" t="n">
        <v>6600.77</v>
      </c>
      <c r="M33" s="12" t="n">
        <v>6653.79</v>
      </c>
      <c r="N33" s="12" t="n">
        <v>53.02</v>
      </c>
      <c r="O33" s="13" t="n">
        <v>0.008032396220440947</v>
      </c>
    </row>
    <row r="34">
      <c r="A34" s="5" t="n">
        <v>46314</v>
      </c>
      <c r="B34" s="6" t="n">
        <v>0.4436921296296296</v>
      </c>
      <c r="C34" s="45" t="inlineStr">
        <is>
          <t>Vakıfbank</t>
        </is>
      </c>
      <c r="D34" s="8" t="n">
        <v>49.1516</v>
      </c>
      <c r="E34" s="8" t="n">
        <v>50.1406</v>
      </c>
      <c r="F34" s="8" t="n">
        <v>0.989</v>
      </c>
      <c r="G34" s="9" t="n">
        <v>0.02012142025895393</v>
      </c>
      <c r="H34" s="10" t="n">
        <v>55.09</v>
      </c>
      <c r="I34" s="10" t="n">
        <v>56.1768</v>
      </c>
      <c r="J34" s="10" t="n">
        <v>1.0868</v>
      </c>
      <c r="K34" s="11" t="n">
        <v>0.01972771827917952</v>
      </c>
      <c r="L34" s="12" t="n">
        <v>6574.8</v>
      </c>
      <c r="M34" s="12" t="n">
        <v>6717.4</v>
      </c>
      <c r="N34" s="12" t="n">
        <v>142.6</v>
      </c>
      <c r="O34" s="13" t="n">
        <v>0.02168887266532822</v>
      </c>
    </row>
    <row r="35">
      <c r="A35" s="5" t="n">
        <v>46314</v>
      </c>
      <c r="B35" s="6" t="n">
        <v>0.4436921296296296</v>
      </c>
      <c r="C35" s="46" t="inlineStr">
        <is>
          <t>Venüs</t>
        </is>
      </c>
      <c r="D35" s="8" t="n">
        <v>49.474</v>
      </c>
      <c r="E35" s="8" t="n">
        <v>49.516</v>
      </c>
      <c r="F35" s="8" t="n">
        <v>0.042</v>
      </c>
      <c r="G35" s="9" t="n">
        <v>0.0008489307515058414</v>
      </c>
      <c r="H35" s="10" t="n">
        <v>55.327</v>
      </c>
      <c r="I35" s="10" t="n">
        <v>55.463</v>
      </c>
      <c r="J35" s="10" t="n">
        <v>0.136</v>
      </c>
      <c r="K35" s="11" t="n">
        <v>0.002458112675547201</v>
      </c>
      <c r="L35" s="12" t="n"/>
      <c r="M35" s="12" t="n"/>
      <c r="N35" s="12" t="n"/>
      <c r="O35" s="13" t="n"/>
    </row>
    <row r="36">
      <c r="A36" s="5" t="n">
        <v>46314</v>
      </c>
      <c r="B36" s="6" t="n">
        <v>0.4436921296296296</v>
      </c>
      <c r="C36" s="47" t="inlineStr">
        <is>
          <t>Yapıkredi</t>
        </is>
      </c>
      <c r="D36" s="8" t="n">
        <v>49.01</v>
      </c>
      <c r="E36" s="8" t="n">
        <v>50.01</v>
      </c>
      <c r="F36" s="8" t="n">
        <v>1</v>
      </c>
      <c r="G36" s="9" t="n">
        <v>0.02040399918384003</v>
      </c>
      <c r="H36" s="10" t="n">
        <v>54.94</v>
      </c>
      <c r="I36" s="10" t="n">
        <v>56.06</v>
      </c>
      <c r="J36" s="10" t="n">
        <v>1.12</v>
      </c>
      <c r="K36" s="11" t="n">
        <v>0.02038587550054605</v>
      </c>
      <c r="L36" s="12" t="n">
        <v>6556.15</v>
      </c>
      <c r="M36" s="12" t="n">
        <v>6757.65</v>
      </c>
      <c r="N36" s="12" t="n">
        <v>201.5</v>
      </c>
      <c r="O36" s="13" t="n">
        <v>0.03073450119353584</v>
      </c>
    </row>
    <row r="37">
      <c r="A37" s="5" t="n">
        <v>46314</v>
      </c>
      <c r="B37" s="6" t="n">
        <v>0.4436921296296296</v>
      </c>
      <c r="C37" s="48" t="inlineStr">
        <is>
          <t>Ziraat Bankası</t>
        </is>
      </c>
      <c r="D37" s="8" t="n">
        <v>49.1344</v>
      </c>
      <c r="E37" s="8" t="n">
        <v>50.1284</v>
      </c>
      <c r="F37" s="8" t="n">
        <v>0.994</v>
      </c>
      <c r="G37" s="9" t="n">
        <v>0.02023022566674265</v>
      </c>
      <c r="H37" s="10" t="n">
        <v>55.081</v>
      </c>
      <c r="I37" s="10" t="n">
        <v>56.1953</v>
      </c>
      <c r="J37" s="10" t="n">
        <v>1.1143</v>
      </c>
      <c r="K37" s="11" t="n">
        <v>0.02023020642326755</v>
      </c>
      <c r="L37" s="12" t="n">
        <v>6609.98</v>
      </c>
      <c r="M37" s="12" t="n">
        <v>6743.45</v>
      </c>
      <c r="N37" s="12" t="n">
        <v>133.47</v>
      </c>
      <c r="O37" s="13" t="n">
        <v>0.02019219422751657</v>
      </c>
    </row>
    <row r="38">
      <c r="A38" s="5" t="n">
        <v>46314</v>
      </c>
      <c r="B38" s="6" t="n">
        <v>0.4436921296296296</v>
      </c>
      <c r="C38" s="49" t="inlineStr">
        <is>
          <t>Ziraat Dinamik</t>
        </is>
      </c>
      <c r="D38" s="8" t="n">
        <v>49.1835</v>
      </c>
      <c r="E38" s="8" t="n">
        <v>49.8527</v>
      </c>
      <c r="F38" s="8" t="n">
        <v>0.6692</v>
      </c>
      <c r="G38" s="9" t="n">
        <v>0.01360618906747181</v>
      </c>
      <c r="H38" s="10" t="n">
        <v>55.0778</v>
      </c>
      <c r="I38" s="10" t="n">
        <v>55.883</v>
      </c>
      <c r="J38" s="10" t="n">
        <v>0.8052</v>
      </c>
      <c r="K38" s="11" t="n">
        <v>0.01461932030691131</v>
      </c>
      <c r="L38" s="12" t="n">
        <v>6570.51</v>
      </c>
      <c r="M38" s="12" t="n">
        <v>6703.18</v>
      </c>
      <c r="N38" s="12" t="n">
        <v>132.67</v>
      </c>
      <c r="O38" s="13" t="n">
        <v>0.02019173549694012</v>
      </c>
    </row>
    <row r="39">
      <c r="A39" s="5" t="n">
        <v>46314</v>
      </c>
      <c r="B39" s="6" t="n">
        <v>0.4436921296296296</v>
      </c>
      <c r="C39" s="50" t="inlineStr">
        <is>
          <t>Ziraat Katılım</t>
        </is>
      </c>
      <c r="D39" s="8" t="n">
        <v>49.0099</v>
      </c>
      <c r="E39" s="8" t="n">
        <v>50.0324</v>
      </c>
      <c r="F39" s="8" t="n">
        <v>1.0225</v>
      </c>
      <c r="G39" s="9" t="n">
        <v>0.02086313173460872</v>
      </c>
      <c r="H39" s="10" t="n">
        <v>54.9039</v>
      </c>
      <c r="I39" s="10" t="n">
        <v>56.1053</v>
      </c>
      <c r="J39" s="10" t="n">
        <v>1.2014</v>
      </c>
      <c r="K39" s="11" t="n">
        <v>0.02188186995823612</v>
      </c>
      <c r="L39" s="12" t="n">
        <v>6591.42</v>
      </c>
      <c r="M39" s="12" t="n">
        <v>6800.44</v>
      </c>
      <c r="N39" s="12" t="n">
        <v>209.02</v>
      </c>
      <c r="O39" s="13" t="n">
        <v>0.03171092116721435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7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</hyperlinks>
  <pageMargins left="0.75" right="0.75" top="1" bottom="1" header="0.5" footer="0.5"/>
  <tableParts count="1">
    <tablePart xmlns:r="http://schemas.openxmlformats.org/officeDocument/2006/relationships" r:id="rId571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46314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0.4436921296296296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0.02023022566674265</v>
      </c>
      <c r="O5" s="73" t="inlineStr">
        <is>
          <t>Ziraat Bankası</t>
        </is>
      </c>
      <c r="P5" s="74" t="n">
        <v>49.1344</v>
      </c>
      <c r="Q5" s="74" t="n">
        <v>50.1284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0.02023020642326755</v>
      </c>
      <c r="O6" s="73" t="inlineStr">
        <is>
          <t>Ziraat Bankası</t>
        </is>
      </c>
      <c r="P6" s="74" t="n">
        <v>55.081</v>
      </c>
      <c r="Q6" s="74" t="n">
        <v>56.1953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0.02019219422751657</v>
      </c>
      <c r="O7" s="73" t="inlineStr">
        <is>
          <t>Ziraat Bankası</t>
        </is>
      </c>
      <c r="P7" s="74" t="n">
        <v>6609.98</v>
      </c>
      <c r="Q7" s="74" t="n">
        <v>6743.45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0.03220767394250362</v>
      </c>
      <c r="I15" s="69" t="n">
        <v>0.03220548877896124</v>
      </c>
      <c r="J15" s="70" t="n">
        <v>0.04440316208507993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0.03687550887751163</v>
      </c>
      <c r="I16" s="69" t="n">
        <v>0.0369513940898832</v>
      </c>
      <c r="J16" s="70" t="n">
        <v>0.05052894232119574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0.03172679670734899</v>
      </c>
      <c r="I17" s="69" t="n">
        <v>0.03032893088982443</v>
      </c>
      <c r="J17" s="70" t="n">
        <v>0.04737411167461091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0.03306695496198709</v>
      </c>
      <c r="I18" s="69" t="n">
        <v>0.03306718170691175</v>
      </c>
      <c r="J18" s="70" t="n">
        <v>0.05950635099084592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0.03421670282034121</v>
      </c>
      <c r="I19" s="69" t="n">
        <v>0.03432834914752231</v>
      </c>
      <c r="J19" s="70" t="n">
        <v>0.06084589151271783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0.03220767394250362</v>
      </c>
      <c r="V4" s="55" t="n">
        <v>0.03687550887751163</v>
      </c>
      <c r="W4" s="55" t="n">
        <v>0.03172679670734899</v>
      </c>
      <c r="X4" s="55" t="n">
        <v>0.03306695496198709</v>
      </c>
      <c r="Y4" s="55" t="n">
        <v>0.03421670282034121</v>
      </c>
      <c r="Z4" s="55" t="n">
        <v>0.03220548877896124</v>
      </c>
      <c r="AA4" s="55" t="n">
        <v>0.0369513940898832</v>
      </c>
      <c r="AB4" s="55" t="n">
        <v>0.03032893088982443</v>
      </c>
      <c r="AC4" s="55" t="n">
        <v>0.03306718170691175</v>
      </c>
      <c r="AD4" s="55" t="n">
        <v>0.03432834914752231</v>
      </c>
      <c r="AE4" s="55" t="n">
        <v>0.04440316208507993</v>
      </c>
      <c r="AF4" s="55" t="n">
        <v>0.05052894232119574</v>
      </c>
      <c r="AG4" s="55" t="n">
        <v>0.04737411167461091</v>
      </c>
      <c r="AH4" s="55" t="n">
        <v>0.05950635099084592</v>
      </c>
      <c r="AI4" s="55" t="n">
        <v>0.06084589151271783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2026-10-19T07:39:34Z</dcterms:created>
  <dcterms:modified xsi:type="dcterms:W3CDTF">2026-10-19T07:39:36Z</dcterms:modified>
</cp:coreProperties>
</file>