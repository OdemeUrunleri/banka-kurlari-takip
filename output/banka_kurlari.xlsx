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'GRAFIK_VERILERI'!$B$2:$B$37</f>
              <numCache>
                <formatCode>0.00%</formatCode>
                <ptCount val="3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'GRAFIK_VERILERI'!$C$2:$C$37</f>
              <numCache>
                <formatCode>0.00%</formatCode>
                <ptCount val="3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'GRAFIK_VERILERI'!$D$2:$D$37</f>
              <numCache>
                <formatCode>0.00%</formatCode>
                <ptCount val="3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'GRAFIK_VERILERI'!$E$2:$E$37</f>
              <numCache>
                <formatCode>0.00%</formatCode>
                <ptCount val="3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'GRAFIK_VERILERI'!$F$2:$F$37</f>
              <numCache>
                <formatCode>0.00%</formatCode>
                <ptCount val="3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'GRAFIK_VERILERI'!$G$2:$G$37</f>
              <numCache>
                <formatCode>0.00%</formatCode>
                <ptCount val="3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'GRAFIK_VERILERI'!$H$2:$H$37</f>
              <numCache>
                <formatCode>0.00%</formatCode>
                <ptCount val="3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'GRAFIK_VERILERI'!$I$2:$I$37</f>
              <numCache>
                <formatCode>0.00%</formatCode>
                <ptCount val="3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'GRAFIK_VERILERI'!$J$2:$J$37</f>
              <numCache>
                <formatCode>0.00%</formatCode>
                <ptCount val="3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'GRAFIK_VERILERI'!$K$2:$K$37</f>
              <numCache>
                <formatCode>0.00%</formatCode>
                <ptCount val="3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'GRAFIK_VERILERI'!$L$2:$L$37</f>
              <numCache>
                <formatCode>0.00%</formatCode>
                <ptCount val="3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'GRAFIK_VERILERI'!$M$2:$M$37</f>
              <numCache>
                <formatCode>0.00%</formatCode>
                <ptCount val="3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'GRAFIK_VERILERI'!$N$2:$N$37</f>
              <numCache>
                <formatCode>0.00%</formatCode>
                <ptCount val="3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'GRAFIK_VERILERI'!$O$2:$O$37</f>
              <numCache>
                <formatCode>0.00%</formatCode>
                <ptCount val="3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'GRAFIK_VERILERI'!$P$2:$P$37</f>
              <numCache>
                <formatCode>0.00%</formatCode>
                <ptCount val="3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0.02800684771205911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0.02797753777914515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0.02065050123681257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0.02022959146568742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0.02429379168850448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19397183008"/>
          <min val="0.0161229041822775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0.02800419757568988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0.0280225457383084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0.02058921108317067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0.02023028306850814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0.02438756920078754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53166713009"/>
          <min val="0.0155475115121661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0.03678280687915585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0.03557827187939019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0.03111991830964407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0.02019202111127605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0.02745849282771318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7485897972"/>
          <min val="0.00796210013581676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'GRAFIK_VERILERI'!$B$2:$B$37</f>
              <numCache>
                <formatCode>0.00%</formatCode>
                <ptCount val="3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4859062880117"/>
          <min val="0.0250920951432605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'GRAFIK_VERILERI'!$G$2:$G$37</f>
              <numCache>
                <formatCode>0.00%</formatCode>
                <ptCount val="3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5693511808662"/>
          <min val="0.0250814810522959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'GRAFIK_VERILERI'!$L$2:$L$37</f>
              <numCache>
                <formatCode>0.00%</formatCode>
                <ptCount val="3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8622850531373"/>
          <min val="0.029997224080146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'GRAFIK_VERILERI'!$C$2:$C$37</f>
              <numCache>
                <formatCode>0.00%</formatCode>
                <ptCount val="3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0066906861722"/>
          <min val="0.0220135359016186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'GRAFIK_VERILERI'!$H$2:$H$37</f>
              <numCache>
                <formatCode>0.00%</formatCode>
                <ptCount val="3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2999309125812"/>
          <min val="0.021958312291324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'GRAFIK_VERILERI'!$M$2:$M$37</f>
              <numCache>
                <formatCode>0.00%</formatCode>
                <ptCount val="3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4258594462153"/>
          <min val="0.0256615237550349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'GRAFIK_VERILERI'!$D$2:$D$37</f>
              <numCache>
                <formatCode>0.00%</formatCode>
                <ptCount val="3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'GRAFIK_VERILERI'!$I$2:$I$37</f>
              <numCache>
                <formatCode>0.00%</formatCode>
                <ptCount val="3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'GRAFIK_VERILERI'!$N$2:$N$37</f>
              <numCache>
                <formatCode>0.00%</formatCode>
                <ptCount val="3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'GRAFIK_VERILERI'!$E$2:$E$37</f>
              <numCache>
                <formatCode>0.00%</formatCode>
                <ptCount val="3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'GRAFIK_VERILERI'!$J$2:$J$37</f>
              <numCache>
                <formatCode>0.00%</formatCode>
                <ptCount val="3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'GRAFIK_VERILERI'!$O$2:$O$37</f>
              <numCache>
                <formatCode>0.00%</formatCode>
                <ptCount val="3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'GRAFIK_VERILERI'!$F$2:$F$37</f>
              <numCache>
                <formatCode>0.00%</formatCode>
                <ptCount val="3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'GRAFIK_VERILERI'!$K$2:$K$37</f>
              <numCache>
                <formatCode>0.00%</formatCode>
                <ptCount val="3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'GRAFIK_VERILERI'!$A$2:$A$37</f>
              <strCache>
                <ptCount val="3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</strCache>
            </strRef>
          </cat>
          <val>
            <numRef>
              <f>'GRAFIK_VERILERI'!$P$2:$P$37</f>
              <numCache>
                <formatCode>0.00%</formatCode>
                <ptCount val="3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3880" headerRowCount="1">
  <autoFilter ref="A1:N3880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table" Target="/xl/tables/table2.xml" Id="rId388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46297</v>
      </c>
      <c r="B2" s="6" t="n">
        <v>0.4224768518518519</v>
      </c>
      <c r="C2" s="7" t="inlineStr">
        <is>
          <t>Akbank</t>
        </is>
      </c>
      <c r="D2" s="8" t="n">
        <v>48.268</v>
      </c>
      <c r="E2" s="8" t="n">
        <v>49.618</v>
      </c>
      <c r="F2" s="8" t="n">
        <v>1.35</v>
      </c>
      <c r="G2" s="9" t="n">
        <v>0.02796884063976133</v>
      </c>
      <c r="H2" s="10" t="n">
        <v>54.3253</v>
      </c>
      <c r="I2" s="10" t="n">
        <v>55.8447</v>
      </c>
      <c r="J2" s="10" t="n">
        <v>1.5194</v>
      </c>
      <c r="K2" s="11" t="n">
        <v>0.02796855240560107</v>
      </c>
      <c r="L2" s="12" t="n">
        <v>6422.83</v>
      </c>
      <c r="M2" s="12" t="n">
        <v>6651.31</v>
      </c>
      <c r="N2" s="12" t="n">
        <v>228.48</v>
      </c>
      <c r="O2" s="13" t="n">
        <v>0.03557310406783303</v>
      </c>
    </row>
    <row r="3">
      <c r="A3" s="5" t="n">
        <v>46297</v>
      </c>
      <c r="B3" s="6" t="n">
        <v>0.4224768518518519</v>
      </c>
      <c r="C3" s="14" t="inlineStr">
        <is>
          <t>Albaraka Türk</t>
        </is>
      </c>
      <c r="D3" s="8" t="n">
        <v>48.774</v>
      </c>
      <c r="E3" s="8" t="n">
        <v>49.496</v>
      </c>
      <c r="F3" s="8" t="n">
        <v>0.722</v>
      </c>
      <c r="G3" s="9" t="n">
        <v>0.01480296879484972</v>
      </c>
      <c r="H3" s="10" t="n">
        <v>54.89</v>
      </c>
      <c r="I3" s="10" t="n">
        <v>55.708</v>
      </c>
      <c r="J3" s="10" t="n">
        <v>0.8179999999999999</v>
      </c>
      <c r="K3" s="11" t="n">
        <v>0.01490253233740208</v>
      </c>
      <c r="L3" s="12" t="n">
        <v>6509.13</v>
      </c>
      <c r="M3" s="12" t="n">
        <v>6633.86</v>
      </c>
      <c r="N3" s="12" t="n">
        <v>124.73</v>
      </c>
      <c r="O3" s="13" t="n">
        <v>0.01916231508665521</v>
      </c>
    </row>
    <row r="4">
      <c r="A4" s="5" t="n">
        <v>46297</v>
      </c>
      <c r="B4" s="6" t="n">
        <v>0.4224768518518519</v>
      </c>
      <c r="C4" s="15" t="inlineStr">
        <is>
          <t>Alternatif Bank</t>
        </is>
      </c>
      <c r="D4" s="8" t="n">
        <v>48.926</v>
      </c>
      <c r="E4" s="8" t="n">
        <v>49.224</v>
      </c>
      <c r="F4" s="8" t="n">
        <v>0.298</v>
      </c>
      <c r="G4" s="9" t="n">
        <v>0.006090831050974942</v>
      </c>
      <c r="H4" s="10" t="n">
        <v>54.903</v>
      </c>
      <c r="I4" s="10" t="n">
        <v>55.411</v>
      </c>
      <c r="J4" s="10" t="n">
        <v>0.508</v>
      </c>
      <c r="K4" s="11" t="n">
        <v>0.009252682002804947</v>
      </c>
      <c r="L4" s="12" t="n">
        <v>6565.33</v>
      </c>
      <c r="M4" s="12" t="n">
        <v>6631.4</v>
      </c>
      <c r="N4" s="12" t="n">
        <v>66.06999999999999</v>
      </c>
      <c r="O4" s="13" t="n">
        <v>0.01006346977227344</v>
      </c>
    </row>
    <row r="5">
      <c r="A5" s="5" t="n">
        <v>46297</v>
      </c>
      <c r="B5" s="6" t="n">
        <v>0.4224768518518519</v>
      </c>
      <c r="C5" s="16" t="inlineStr">
        <is>
          <t>Altınkaynak</t>
        </is>
      </c>
      <c r="D5" s="8" t="n">
        <v>48.98</v>
      </c>
      <c r="E5" s="8" t="n">
        <v>49.17</v>
      </c>
      <c r="F5" s="8" t="n">
        <v>0.19</v>
      </c>
      <c r="G5" s="9" t="n">
        <v>0.003879134340547162</v>
      </c>
      <c r="H5" s="10" t="n">
        <v>54.997</v>
      </c>
      <c r="I5" s="10" t="n">
        <v>55.349</v>
      </c>
      <c r="J5" s="10" t="n">
        <v>0.352</v>
      </c>
      <c r="K5" s="11" t="n">
        <v>0.006400349109951452</v>
      </c>
      <c r="L5" s="12" t="n">
        <v>6552.64</v>
      </c>
      <c r="M5" s="12" t="n">
        <v>6705</v>
      </c>
      <c r="N5" s="12" t="n">
        <v>152.36</v>
      </c>
      <c r="O5" s="13" t="n">
        <v>0.02325169702593153</v>
      </c>
    </row>
    <row r="6">
      <c r="A6" s="5" t="n">
        <v>46297</v>
      </c>
      <c r="B6" s="6" t="n">
        <v>0.4224768518518519</v>
      </c>
      <c r="C6" s="17" t="inlineStr">
        <is>
          <t>Anadolubank</t>
        </is>
      </c>
      <c r="D6" s="8" t="n">
        <v>48.2112</v>
      </c>
      <c r="E6" s="8" t="n">
        <v>49.4878</v>
      </c>
      <c r="F6" s="8" t="n">
        <v>1.2766</v>
      </c>
      <c r="G6" s="9" t="n">
        <v>0.02647932430638524</v>
      </c>
      <c r="H6" s="10" t="n">
        <v>54.3387</v>
      </c>
      <c r="I6" s="10" t="n">
        <v>55.7103</v>
      </c>
      <c r="J6" s="10" t="n">
        <v>1.3716</v>
      </c>
      <c r="K6" s="11" t="n">
        <v>0.0252416785826676</v>
      </c>
      <c r="L6" s="12" t="n">
        <v>6474.47</v>
      </c>
      <c r="M6" s="12" t="n">
        <v>6630.23</v>
      </c>
      <c r="N6" s="12" t="n">
        <v>155.76</v>
      </c>
      <c r="O6" s="13" t="n">
        <v>0.02405756764646373</v>
      </c>
    </row>
    <row r="7">
      <c r="A7" s="5" t="n">
        <v>46297</v>
      </c>
      <c r="B7" s="6" t="n">
        <v>0.4224768518518519</v>
      </c>
      <c r="C7" s="18" t="inlineStr">
        <is>
          <t>CEPTETEB</t>
        </is>
      </c>
      <c r="D7" s="8" t="n">
        <v>48.046</v>
      </c>
      <c r="E7" s="8" t="n">
        <v>49.998</v>
      </c>
      <c r="F7" s="8" t="n">
        <v>1.952</v>
      </c>
      <c r="G7" s="9" t="n">
        <v>0.04062773175706615</v>
      </c>
      <c r="H7" s="10" t="n">
        <v>54.071</v>
      </c>
      <c r="I7" s="10" t="n">
        <v>56.288</v>
      </c>
      <c r="J7" s="10" t="n">
        <v>2.217</v>
      </c>
      <c r="K7" s="11" t="n">
        <v>0.04100164598398402</v>
      </c>
      <c r="L7" s="12" t="n">
        <v>6471.3</v>
      </c>
      <c r="M7" s="12" t="n">
        <v>6668.41</v>
      </c>
      <c r="N7" s="12" t="n">
        <v>197.11</v>
      </c>
      <c r="O7" s="13" t="n">
        <v>0.03045910404400971</v>
      </c>
    </row>
    <row r="8">
      <c r="A8" s="5" t="n">
        <v>46297</v>
      </c>
      <c r="B8" s="6" t="n">
        <v>0.4224768518518519</v>
      </c>
      <c r="C8" s="19" t="inlineStr">
        <is>
          <t>Denizbank</t>
        </is>
      </c>
      <c r="D8" s="8" t="n">
        <v>48.3179</v>
      </c>
      <c r="E8" s="8" t="n">
        <v>49.718</v>
      </c>
      <c r="F8" s="8" t="n">
        <v>1.4001</v>
      </c>
      <c r="G8" s="9" t="n">
        <v>0.0289768388112894</v>
      </c>
      <c r="H8" s="10" t="n">
        <v>54.3841</v>
      </c>
      <c r="I8" s="10" t="n">
        <v>55.96</v>
      </c>
      <c r="J8" s="10" t="n">
        <v>1.5759</v>
      </c>
      <c r="K8" s="11" t="n">
        <v>0.02897721944465386</v>
      </c>
      <c r="L8" s="12" t="n">
        <v>6488.25</v>
      </c>
      <c r="M8" s="12" t="n">
        <v>6677.4</v>
      </c>
      <c r="N8" s="12" t="n">
        <v>189.15</v>
      </c>
      <c r="O8" s="13" t="n">
        <v>0.02915269910992949</v>
      </c>
    </row>
    <row r="9">
      <c r="A9" s="5" t="n">
        <v>46297</v>
      </c>
      <c r="B9" s="6" t="n">
        <v>0.4224768518518519</v>
      </c>
      <c r="C9" s="20" t="inlineStr">
        <is>
          <t>DestekBank</t>
        </is>
      </c>
      <c r="D9" s="8" t="n">
        <v>48.9374</v>
      </c>
      <c r="E9" s="8" t="n">
        <v>49.0828</v>
      </c>
      <c r="F9" s="8" t="n">
        <v>0.1454</v>
      </c>
      <c r="G9" s="9" t="n">
        <v>0.002971142725195862</v>
      </c>
      <c r="H9" s="10" t="n">
        <v>55.0645</v>
      </c>
      <c r="I9" s="10" t="n">
        <v>55.2523</v>
      </c>
      <c r="J9" s="10" t="n">
        <v>0.1878</v>
      </c>
      <c r="K9" s="11" t="n">
        <v>0.003410545814453958</v>
      </c>
      <c r="L9" s="12" t="n">
        <v>6485.37</v>
      </c>
      <c r="M9" s="12" t="n">
        <v>6618.88</v>
      </c>
      <c r="N9" s="12" t="n">
        <v>133.51</v>
      </c>
      <c r="O9" s="13" t="n">
        <v>0.02058633508959396</v>
      </c>
    </row>
    <row r="10">
      <c r="A10" s="5" t="n">
        <v>46297</v>
      </c>
      <c r="B10" s="6" t="n">
        <v>0.4224768518518519</v>
      </c>
      <c r="C10" s="21" t="inlineStr">
        <is>
          <t>Dünya Katılım</t>
        </is>
      </c>
      <c r="D10" s="8" t="n">
        <v>48.967</v>
      </c>
      <c r="E10" s="8" t="n">
        <v>49.0579</v>
      </c>
      <c r="F10" s="8" t="n">
        <v>0.09089999999999999</v>
      </c>
      <c r="G10" s="9" t="n">
        <v>0.001856352237220986</v>
      </c>
      <c r="H10" s="10" t="n">
        <v>55.0476</v>
      </c>
      <c r="I10" s="10" t="n">
        <v>55.2486</v>
      </c>
      <c r="J10" s="10" t="n">
        <v>0.201</v>
      </c>
      <c r="K10" s="11" t="n">
        <v>0.00365138534650012</v>
      </c>
      <c r="L10" s="12" t="n">
        <v>6536.22</v>
      </c>
      <c r="M10" s="12" t="n">
        <v>6570.76</v>
      </c>
      <c r="N10" s="12" t="n">
        <v>34.54</v>
      </c>
      <c r="O10" s="13" t="n">
        <v>0.00528439985190217</v>
      </c>
    </row>
    <row r="11">
      <c r="A11" s="5" t="n">
        <v>46297</v>
      </c>
      <c r="B11" s="6" t="n">
        <v>0.4224768518518519</v>
      </c>
      <c r="C11" s="22" t="inlineStr">
        <is>
          <t>Emlak Katılım</t>
        </is>
      </c>
      <c r="D11" s="8" t="n">
        <v>48.6784</v>
      </c>
      <c r="E11" s="8" t="n">
        <v>49.936</v>
      </c>
      <c r="F11" s="8" t="n">
        <v>1.2576</v>
      </c>
      <c r="G11" s="9" t="n">
        <v>0.02583486721009729</v>
      </c>
      <c r="H11" s="10" t="n">
        <v>54.6904</v>
      </c>
      <c r="I11" s="10" t="n">
        <v>55.9562</v>
      </c>
      <c r="J11" s="10" t="n">
        <v>1.2658</v>
      </c>
      <c r="K11" s="11" t="n">
        <v>0.0231448298055966</v>
      </c>
      <c r="L11" s="12" t="n">
        <v>6506.64</v>
      </c>
      <c r="M11" s="12" t="n">
        <v>6613.19</v>
      </c>
      <c r="N11" s="12" t="n">
        <v>106.55</v>
      </c>
      <c r="O11" s="13" t="n">
        <v>0.01637557940811233</v>
      </c>
    </row>
    <row r="12">
      <c r="A12" s="5" t="n">
        <v>46297</v>
      </c>
      <c r="B12" s="6" t="n">
        <v>0.4224768518518519</v>
      </c>
      <c r="C12" s="23" t="inlineStr">
        <is>
          <t>Enpara</t>
        </is>
      </c>
      <c r="D12" s="8" t="n">
        <v>48.745</v>
      </c>
      <c r="E12" s="8" t="n">
        <v>49.545</v>
      </c>
      <c r="F12" s="8" t="n">
        <v>0.8</v>
      </c>
      <c r="G12" s="9" t="n">
        <v>0.01641193968612165</v>
      </c>
      <c r="H12" s="10" t="n">
        <v>54.8125</v>
      </c>
      <c r="I12" s="10" t="n">
        <v>55.8335</v>
      </c>
      <c r="J12" s="10" t="n">
        <v>1.021</v>
      </c>
      <c r="K12" s="11" t="n">
        <v>0.01862713797035348</v>
      </c>
      <c r="L12" s="12" t="n">
        <v>6512.37</v>
      </c>
      <c r="M12" s="12" t="n">
        <v>6641.74</v>
      </c>
      <c r="N12" s="12" t="n">
        <v>129.37</v>
      </c>
      <c r="O12" s="13" t="n">
        <v>0.01986527178277647</v>
      </c>
    </row>
    <row r="13">
      <c r="A13" s="5" t="n">
        <v>46297</v>
      </c>
      <c r="B13" s="6" t="n">
        <v>0.4224768518518519</v>
      </c>
      <c r="C13" s="24" t="inlineStr">
        <is>
          <t>Fibabanka</t>
        </is>
      </c>
      <c r="D13" s="8" t="n">
        <v>48.7463</v>
      </c>
      <c r="E13" s="8" t="n">
        <v>49.3664</v>
      </c>
      <c r="F13" s="8" t="n">
        <v>0.6201</v>
      </c>
      <c r="G13" s="9" t="n">
        <v>0.01272096548866273</v>
      </c>
      <c r="H13" s="10" t="n">
        <v>54.87</v>
      </c>
      <c r="I13" s="10" t="n">
        <v>55.547</v>
      </c>
      <c r="J13" s="10" t="n">
        <v>0.677</v>
      </c>
      <c r="K13" s="11" t="n">
        <v>0.01233825405503918</v>
      </c>
      <c r="L13" s="12" t="n">
        <v>6559.03</v>
      </c>
      <c r="M13" s="12" t="n">
        <v>6615.08</v>
      </c>
      <c r="N13" s="12" t="n">
        <v>56.05</v>
      </c>
      <c r="O13" s="13" t="n">
        <v>0.008545470900422776</v>
      </c>
    </row>
    <row r="14">
      <c r="A14" s="5" t="n">
        <v>46297</v>
      </c>
      <c r="B14" s="6" t="n">
        <v>0.4224768518518519</v>
      </c>
      <c r="C14" s="25" t="inlineStr">
        <is>
          <t>Garanti BBVA</t>
        </is>
      </c>
      <c r="D14" s="8" t="n">
        <v>48.214</v>
      </c>
      <c r="E14" s="8" t="n">
        <v>49.564</v>
      </c>
      <c r="F14" s="8" t="n">
        <v>1.35</v>
      </c>
      <c r="G14" s="9" t="n">
        <v>0.0280001659269092</v>
      </c>
      <c r="H14" s="10" t="n">
        <v>54.265</v>
      </c>
      <c r="I14" s="10" t="n">
        <v>55.784</v>
      </c>
      <c r="J14" s="10" t="n">
        <v>1.519</v>
      </c>
      <c r="K14" s="11" t="n">
        <v>0.02799226020455173</v>
      </c>
      <c r="L14" s="12" t="n">
        <v>6469.58</v>
      </c>
      <c r="M14" s="12" t="n">
        <v>6707.54</v>
      </c>
      <c r="N14" s="12" t="n">
        <v>237.96</v>
      </c>
      <c r="O14" s="13" t="n">
        <v>0.03678136756945582</v>
      </c>
    </row>
    <row r="15">
      <c r="A15" s="5" t="n">
        <v>46297</v>
      </c>
      <c r="B15" s="6" t="n">
        <v>0.4224768518518519</v>
      </c>
      <c r="C15" s="26" t="inlineStr">
        <is>
          <t>Getirfinans</t>
        </is>
      </c>
      <c r="D15" s="8" t="n">
        <v>48.7463</v>
      </c>
      <c r="E15" s="8" t="n">
        <v>49.3666</v>
      </c>
      <c r="F15" s="8" t="n">
        <v>0.6203</v>
      </c>
      <c r="G15" s="9" t="n">
        <v>0.01272506836416302</v>
      </c>
      <c r="H15" s="10" t="n">
        <v>54.8754</v>
      </c>
      <c r="I15" s="10" t="n">
        <v>55.5521</v>
      </c>
      <c r="J15" s="10" t="n">
        <v>0.6767</v>
      </c>
      <c r="K15" s="11" t="n">
        <v>0.01233157298170036</v>
      </c>
      <c r="L15" s="12" t="n">
        <v>6557.73</v>
      </c>
      <c r="M15" s="12" t="n">
        <v>6613.82</v>
      </c>
      <c r="N15" s="12" t="n">
        <v>56.09</v>
      </c>
      <c r="O15" s="13" t="n">
        <v>0.008553264620531799</v>
      </c>
    </row>
    <row r="16">
      <c r="A16" s="5" t="n">
        <v>46297</v>
      </c>
      <c r="B16" s="6" t="n">
        <v>0.4224768518518519</v>
      </c>
      <c r="C16" s="27" t="inlineStr">
        <is>
          <t>Halkbank</t>
        </is>
      </c>
      <c r="D16" s="8" t="n">
        <v>48.6247</v>
      </c>
      <c r="E16" s="8" t="n">
        <v>49.6048</v>
      </c>
      <c r="F16" s="8" t="n">
        <v>0.9801</v>
      </c>
      <c r="G16" s="9" t="n">
        <v>0.02015642255890525</v>
      </c>
      <c r="H16" s="10" t="n">
        <v>54.7344</v>
      </c>
      <c r="I16" s="10" t="n">
        <v>55.8376</v>
      </c>
      <c r="J16" s="10" t="n">
        <v>1.1032</v>
      </c>
      <c r="K16" s="11" t="n">
        <v>0.02015551463065275</v>
      </c>
      <c r="L16" s="12" t="n">
        <v>6506.93</v>
      </c>
      <c r="M16" s="12" t="n">
        <v>6705.81</v>
      </c>
      <c r="N16" s="12" t="n">
        <v>198.88</v>
      </c>
      <c r="O16" s="13" t="n">
        <v>0.03056433679169747</v>
      </c>
    </row>
    <row r="17">
      <c r="A17" s="5" t="n">
        <v>46297</v>
      </c>
      <c r="B17" s="6" t="n">
        <v>0.4224768518518519</v>
      </c>
      <c r="C17" s="28" t="inlineStr">
        <is>
          <t>Harem</t>
        </is>
      </c>
      <c r="D17" s="8" t="n">
        <v>49.0032</v>
      </c>
      <c r="E17" s="8" t="n">
        <v>49.0893</v>
      </c>
      <c r="F17" s="8" t="n">
        <v>0.0861</v>
      </c>
      <c r="G17" s="9" t="n">
        <v>0.001757028112449799</v>
      </c>
      <c r="H17" s="10" t="n">
        <v>55.063</v>
      </c>
      <c r="I17" s="10" t="n">
        <v>55.236</v>
      </c>
      <c r="J17" s="10" t="n">
        <v>0.173</v>
      </c>
      <c r="K17" s="11" t="n">
        <v>0.003141855692570328</v>
      </c>
      <c r="L17" s="12" t="n">
        <v>6561.2</v>
      </c>
      <c r="M17" s="12" t="n">
        <v>6644.36</v>
      </c>
      <c r="N17" s="12" t="n">
        <v>83.16</v>
      </c>
      <c r="O17" s="13" t="n">
        <v>0.01267451076022679</v>
      </c>
    </row>
    <row r="18">
      <c r="A18" s="5" t="n">
        <v>46297</v>
      </c>
      <c r="B18" s="6" t="n">
        <v>0.4224768518518519</v>
      </c>
      <c r="C18" s="29" t="inlineStr">
        <is>
          <t>Hayat Finans</t>
        </is>
      </c>
      <c r="D18" s="8" t="n">
        <v>48.9974</v>
      </c>
      <c r="E18" s="8" t="n">
        <v>49.1803</v>
      </c>
      <c r="F18" s="8" t="n">
        <v>0.1829</v>
      </c>
      <c r="G18" s="9" t="n">
        <v>0.003732851130876332</v>
      </c>
      <c r="H18" s="10" t="n">
        <v>55.1011</v>
      </c>
      <c r="I18" s="10" t="n">
        <v>55.326</v>
      </c>
      <c r="J18" s="10" t="n">
        <v>0.2249</v>
      </c>
      <c r="K18" s="11" t="n">
        <v>0.004081588207857919</v>
      </c>
      <c r="L18" s="12" t="n">
        <v>6561.24</v>
      </c>
      <c r="M18" s="12" t="n">
        <v>6607.91</v>
      </c>
      <c r="N18" s="12" t="n">
        <v>46.67</v>
      </c>
      <c r="O18" s="13" t="n">
        <v>0.00711298474068926</v>
      </c>
    </row>
    <row r="19">
      <c r="A19" s="5" t="n">
        <v>46297</v>
      </c>
      <c r="B19" s="6" t="n">
        <v>0.4224768518518519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6541.51</v>
      </c>
      <c r="M19" s="12" t="n">
        <v>6733.11</v>
      </c>
      <c r="N19" s="12" t="n">
        <v>191.6</v>
      </c>
      <c r="O19" s="13" t="n">
        <v>0.0292898734390072</v>
      </c>
    </row>
    <row r="20">
      <c r="A20" s="5" t="n">
        <v>46297</v>
      </c>
      <c r="B20" s="6" t="n">
        <v>0.4224768518518519</v>
      </c>
      <c r="C20" s="31" t="inlineStr">
        <is>
          <t>HSBC</t>
        </is>
      </c>
      <c r="D20" s="8" t="n">
        <v>48.5576</v>
      </c>
      <c r="E20" s="8" t="n">
        <v>49.4544</v>
      </c>
      <c r="F20" s="8" t="n">
        <v>0.8968</v>
      </c>
      <c r="G20" s="9" t="n">
        <v>0.01846878758422986</v>
      </c>
      <c r="H20" s="10" t="n">
        <v>54.6378</v>
      </c>
      <c r="I20" s="10" t="n">
        <v>55.7086</v>
      </c>
      <c r="J20" s="10" t="n">
        <v>1.0708</v>
      </c>
      <c r="K20" s="11" t="n">
        <v>0.01959815365918833</v>
      </c>
      <c r="L20" s="12" t="n">
        <v>6489.6</v>
      </c>
      <c r="M20" s="12" t="n">
        <v>6936.44</v>
      </c>
      <c r="N20" s="12" t="n">
        <v>446.84</v>
      </c>
      <c r="O20" s="13" t="n">
        <v>0.06885478303747535</v>
      </c>
    </row>
    <row r="21">
      <c r="A21" s="5" t="n">
        <v>46297</v>
      </c>
      <c r="B21" s="6" t="n">
        <v>0.4224768518518519</v>
      </c>
      <c r="C21" s="32" t="inlineStr">
        <is>
          <t>ING Bank</t>
        </is>
      </c>
      <c r="D21" s="8" t="n">
        <v>48.5088</v>
      </c>
      <c r="E21" s="8" t="n">
        <v>49.5142</v>
      </c>
      <c r="F21" s="8" t="n">
        <v>1.0054</v>
      </c>
      <c r="G21" s="9" t="n">
        <v>0.0207261362886734</v>
      </c>
      <c r="H21" s="10" t="n">
        <v>54.6394</v>
      </c>
      <c r="I21" s="10" t="n">
        <v>55.6531</v>
      </c>
      <c r="J21" s="10" t="n">
        <v>1.0137</v>
      </c>
      <c r="K21" s="11" t="n">
        <v>0.01855254633103585</v>
      </c>
      <c r="L21" s="12" t="n">
        <v>6431.27</v>
      </c>
      <c r="M21" s="12" t="n">
        <v>6734.3</v>
      </c>
      <c r="N21" s="12" t="n">
        <v>303.03</v>
      </c>
      <c r="O21" s="13" t="n">
        <v>0.04711822081797219</v>
      </c>
    </row>
    <row r="22">
      <c r="A22" s="5" t="n">
        <v>46297</v>
      </c>
      <c r="B22" s="6" t="n">
        <v>0.4224768518518519</v>
      </c>
      <c r="C22" s="33" t="inlineStr">
        <is>
          <t>İş Bankası</t>
        </is>
      </c>
      <c r="D22" s="8" t="n">
        <v>48.425</v>
      </c>
      <c r="E22" s="8" t="n">
        <v>49.6029</v>
      </c>
      <c r="F22" s="8" t="n">
        <v>1.1779</v>
      </c>
      <c r="G22" s="9" t="n">
        <v>0.02432421270005163</v>
      </c>
      <c r="H22" s="10" t="n">
        <v>54.4975</v>
      </c>
      <c r="I22" s="10" t="n">
        <v>55.8281</v>
      </c>
      <c r="J22" s="10" t="n">
        <v>1.3306</v>
      </c>
      <c r="K22" s="11" t="n">
        <v>0.02441579888985733</v>
      </c>
      <c r="L22" s="12" t="n">
        <v>6481.26</v>
      </c>
      <c r="M22" s="12" t="n">
        <v>6659.52</v>
      </c>
      <c r="N22" s="12" t="n">
        <v>178.26</v>
      </c>
      <c r="O22" s="13" t="n">
        <v>0.02750391127651105</v>
      </c>
    </row>
    <row r="23">
      <c r="A23" s="5" t="n">
        <v>46297</v>
      </c>
      <c r="B23" s="6" t="n">
        <v>0.4224768518518519</v>
      </c>
      <c r="C23" s="34" t="inlineStr">
        <is>
          <t>Kapalıçarşı</t>
        </is>
      </c>
      <c r="D23" s="8" t="n">
        <v>49.02</v>
      </c>
      <c r="E23" s="8" t="n">
        <v>49.03</v>
      </c>
      <c r="F23" s="8" t="n">
        <v>0.01</v>
      </c>
      <c r="G23" s="9" t="n">
        <v>0.0002039983680130559</v>
      </c>
      <c r="H23" s="10" t="n">
        <v>55.2</v>
      </c>
      <c r="I23" s="10" t="n">
        <v>55.25</v>
      </c>
      <c r="J23" s="10" t="n">
        <v>0.05</v>
      </c>
      <c r="K23" s="11" t="n">
        <v>0.0009057971014492754</v>
      </c>
      <c r="L23" s="12" t="n">
        <v>6567.2</v>
      </c>
      <c r="M23" s="12" t="n">
        <v>6573.47</v>
      </c>
      <c r="N23" s="12" t="n">
        <v>6.27</v>
      </c>
      <c r="O23" s="13" t="n">
        <v>0.0009547447923011329</v>
      </c>
    </row>
    <row r="24">
      <c r="A24" s="5" t="n">
        <v>46297</v>
      </c>
      <c r="B24" s="6" t="n">
        <v>0.4224768518518519</v>
      </c>
      <c r="C24" s="35" t="inlineStr">
        <is>
          <t>Kuveyt Türk</t>
        </is>
      </c>
      <c r="D24" s="8" t="n">
        <v>48.4473</v>
      </c>
      <c r="E24" s="8" t="n">
        <v>49.4304</v>
      </c>
      <c r="F24" s="8" t="n">
        <v>0.9831</v>
      </c>
      <c r="G24" s="9" t="n">
        <v>0.0202921525038547</v>
      </c>
      <c r="H24" s="10" t="n">
        <v>54.4534</v>
      </c>
      <c r="I24" s="10" t="n">
        <v>55.5626</v>
      </c>
      <c r="J24" s="10" t="n">
        <v>1.1092</v>
      </c>
      <c r="K24" s="11" t="n">
        <v>0.02036971061494783</v>
      </c>
      <c r="L24" s="12" t="n">
        <v>6443.96</v>
      </c>
      <c r="M24" s="12" t="n">
        <v>6615.2</v>
      </c>
      <c r="N24" s="12" t="n">
        <v>171.24</v>
      </c>
      <c r="O24" s="13" t="n">
        <v>0.02657372174873835</v>
      </c>
    </row>
    <row r="25">
      <c r="A25" s="5" t="n">
        <v>46297</v>
      </c>
      <c r="B25" s="6" t="n">
        <v>0.4224768518518519</v>
      </c>
      <c r="C25" s="36" t="inlineStr">
        <is>
          <t>Merkez Bankası</t>
        </is>
      </c>
      <c r="D25" s="8" t="n">
        <v>48.9466</v>
      </c>
      <c r="E25" s="8" t="n">
        <v>49.0348</v>
      </c>
      <c r="F25" s="8" t="n">
        <v>0.0882</v>
      </c>
      <c r="G25" s="9" t="n">
        <v>0.001801963772764605</v>
      </c>
      <c r="H25" s="10" t="n">
        <v>55.2967</v>
      </c>
      <c r="I25" s="10" t="n">
        <v>55.3963</v>
      </c>
      <c r="J25" s="10" t="n">
        <v>0.09959999999999999</v>
      </c>
      <c r="K25" s="11" t="n">
        <v>0.001801192476223717</v>
      </c>
      <c r="L25" s="12" t="n"/>
      <c r="M25" s="12" t="n"/>
      <c r="N25" s="12" t="n"/>
      <c r="O25" s="13" t="n"/>
    </row>
    <row r="26">
      <c r="A26" s="5" t="n">
        <v>46297</v>
      </c>
      <c r="B26" s="6" t="n">
        <v>0.4224768518518519</v>
      </c>
      <c r="C26" s="37" t="inlineStr">
        <is>
          <t>Misyon Bank</t>
        </is>
      </c>
      <c r="D26" s="8" t="n">
        <v>48.9603</v>
      </c>
      <c r="E26" s="8" t="n">
        <v>49.0578</v>
      </c>
      <c r="F26" s="8" t="n">
        <v>0.0975</v>
      </c>
      <c r="G26" s="9" t="n">
        <v>0.001991409366364176</v>
      </c>
      <c r="H26" s="10" t="n">
        <v>55.0824</v>
      </c>
      <c r="I26" s="10" t="n">
        <v>55.2357</v>
      </c>
      <c r="J26" s="10" t="n">
        <v>0.1533</v>
      </c>
      <c r="K26" s="11" t="n">
        <v>0.0027831031327611</v>
      </c>
      <c r="L26" s="12" t="n">
        <v>6535.3</v>
      </c>
      <c r="M26" s="12" t="n">
        <v>6569.43</v>
      </c>
      <c r="N26" s="12" t="n">
        <v>34.13</v>
      </c>
      <c r="O26" s="13" t="n">
        <v>0.005222407540587273</v>
      </c>
    </row>
    <row r="27">
      <c r="A27" s="5" t="n">
        <v>46297</v>
      </c>
      <c r="B27" s="6" t="n">
        <v>0.4224768518518519</v>
      </c>
      <c r="C27" s="38" t="inlineStr">
        <is>
          <t>Odacı</t>
        </is>
      </c>
      <c r="D27" s="8" t="n">
        <v>49.011</v>
      </c>
      <c r="E27" s="8" t="n">
        <v>49.165</v>
      </c>
      <c r="F27" s="8" t="n">
        <v>0.154</v>
      </c>
      <c r="G27" s="9" t="n">
        <v>0.003142151761849381</v>
      </c>
      <c r="H27" s="10" t="n">
        <v>55.095</v>
      </c>
      <c r="I27" s="10" t="n">
        <v>55.29</v>
      </c>
      <c r="J27" s="10" t="n">
        <v>0.195</v>
      </c>
      <c r="K27" s="11" t="n">
        <v>0.003539341138034304</v>
      </c>
      <c r="L27" s="12" t="n">
        <v>6580</v>
      </c>
      <c r="M27" s="12" t="n">
        <v>6626</v>
      </c>
      <c r="N27" s="12" t="n">
        <v>46</v>
      </c>
      <c r="O27" s="13" t="n">
        <v>0.006990881458966566</v>
      </c>
    </row>
    <row r="28">
      <c r="A28" s="5" t="n">
        <v>46297</v>
      </c>
      <c r="B28" s="6" t="n">
        <v>0.4224768518518519</v>
      </c>
      <c r="C28" s="39" t="inlineStr">
        <is>
          <t>Odeabank</t>
        </is>
      </c>
      <c r="D28" s="8" t="n">
        <v>48.5255</v>
      </c>
      <c r="E28" s="8" t="n">
        <v>49.5255</v>
      </c>
      <c r="F28" s="8" t="n">
        <v>1</v>
      </c>
      <c r="G28" s="9" t="n">
        <v>0.02060772171332598</v>
      </c>
      <c r="H28" s="10" t="n">
        <v>54.624</v>
      </c>
      <c r="I28" s="10" t="n">
        <v>55.714</v>
      </c>
      <c r="J28" s="10" t="n">
        <v>1.09</v>
      </c>
      <c r="K28" s="11" t="n">
        <v>0.01995459871118922</v>
      </c>
      <c r="L28" s="12" t="n">
        <v>6539.99</v>
      </c>
      <c r="M28" s="12" t="n">
        <v>6639.99</v>
      </c>
      <c r="N28" s="12" t="n">
        <v>100</v>
      </c>
      <c r="O28" s="13" t="n">
        <v>0.0152905432577114</v>
      </c>
    </row>
    <row r="29">
      <c r="A29" s="5" t="n">
        <v>46297</v>
      </c>
      <c r="B29" s="6" t="n">
        <v>0.4224768518518519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6541.51</v>
      </c>
      <c r="M29" s="12" t="n">
        <v>6719.67</v>
      </c>
      <c r="N29" s="12" t="n">
        <v>178.16</v>
      </c>
      <c r="O29" s="13" t="n">
        <v>0.02723530194098916</v>
      </c>
    </row>
    <row r="30">
      <c r="A30" s="5" t="n">
        <v>46297</v>
      </c>
      <c r="B30" s="6" t="n">
        <v>0.4224768518518519</v>
      </c>
      <c r="C30" s="41" t="inlineStr">
        <is>
          <t>QNB Finansbank</t>
        </is>
      </c>
      <c r="D30" s="8" t="n">
        <v>48.255</v>
      </c>
      <c r="E30" s="8" t="n">
        <v>49.775</v>
      </c>
      <c r="F30" s="8" t="n">
        <v>1.52</v>
      </c>
      <c r="G30" s="9" t="n">
        <v>0.03149932649466376</v>
      </c>
      <c r="H30" s="10" t="n">
        <v>54.2018</v>
      </c>
      <c r="I30" s="10" t="n">
        <v>56.1494</v>
      </c>
      <c r="J30" s="10" t="n">
        <v>1.9476</v>
      </c>
      <c r="K30" s="11" t="n">
        <v>0.03593238600932072</v>
      </c>
      <c r="L30" s="12" t="n">
        <v>6439.91</v>
      </c>
      <c r="M30" s="12" t="n">
        <v>6672.64</v>
      </c>
      <c r="N30" s="12" t="n">
        <v>232.73</v>
      </c>
      <c r="O30" s="13" t="n">
        <v>0.0361387038017612</v>
      </c>
    </row>
    <row r="31">
      <c r="A31" s="5" t="n">
        <v>46297</v>
      </c>
      <c r="B31" s="6" t="n">
        <v>0.4224768518518519</v>
      </c>
      <c r="C31" s="42" t="inlineStr">
        <is>
          <t>TOM Bank Hadi</t>
        </is>
      </c>
      <c r="D31" s="8" t="n">
        <v>49.0223</v>
      </c>
      <c r="E31" s="8" t="n">
        <v>49.2435</v>
      </c>
      <c r="F31" s="8" t="n">
        <v>0.2212</v>
      </c>
      <c r="G31" s="9" t="n">
        <v>0.004512232188208223</v>
      </c>
      <c r="H31" s="10" t="n">
        <v>55.1</v>
      </c>
      <c r="I31" s="10" t="n">
        <v>55.4319</v>
      </c>
      <c r="J31" s="10" t="n">
        <v>0.3319</v>
      </c>
      <c r="K31" s="11" t="n">
        <v>0.006023593466424683</v>
      </c>
      <c r="L31" s="12" t="n">
        <v>6540.21</v>
      </c>
      <c r="M31" s="12" t="n">
        <v>6770.27</v>
      </c>
      <c r="N31" s="12" t="n">
        <v>230.06</v>
      </c>
      <c r="O31" s="13" t="n">
        <v>0.03517624051827082</v>
      </c>
    </row>
    <row r="32">
      <c r="A32" s="5" t="n">
        <v>46297</v>
      </c>
      <c r="B32" s="6" t="n">
        <v>0.4224768518518519</v>
      </c>
      <c r="C32" s="43" t="inlineStr">
        <is>
          <t>Türkiye Finans</t>
        </is>
      </c>
      <c r="D32" s="8" t="n">
        <v>48.6053</v>
      </c>
      <c r="E32" s="8" t="n">
        <v>49.4136</v>
      </c>
      <c r="F32" s="8" t="n">
        <v>0.8083</v>
      </c>
      <c r="G32" s="9" t="n">
        <v>0.01662987369690137</v>
      </c>
      <c r="H32" s="10" t="n">
        <v>54.7256</v>
      </c>
      <c r="I32" s="10" t="n">
        <v>55.5824</v>
      </c>
      <c r="J32" s="10" t="n">
        <v>0.8568</v>
      </c>
      <c r="K32" s="11" t="n">
        <v>0.01565629248468724</v>
      </c>
      <c r="L32" s="12" t="n">
        <v>6487.56</v>
      </c>
      <c r="M32" s="12" t="n">
        <v>6684.8</v>
      </c>
      <c r="N32" s="12" t="n">
        <v>197.24</v>
      </c>
      <c r="O32" s="13" t="n">
        <v>0.030402801669657</v>
      </c>
    </row>
    <row r="33">
      <c r="A33" s="5" t="n">
        <v>46297</v>
      </c>
      <c r="B33" s="6" t="n">
        <v>0.4224768518518519</v>
      </c>
      <c r="C33" s="44" t="inlineStr">
        <is>
          <t>Vakıf Katılım</t>
        </is>
      </c>
      <c r="D33" s="8" t="n">
        <v>48.9144</v>
      </c>
      <c r="E33" s="8" t="n">
        <v>49.1208</v>
      </c>
      <c r="F33" s="8" t="n">
        <v>0.2064</v>
      </c>
      <c r="G33" s="9" t="n">
        <v>0.004219616309307689</v>
      </c>
      <c r="H33" s="10" t="n">
        <v>55.0494</v>
      </c>
      <c r="I33" s="10" t="n">
        <v>55.2713</v>
      </c>
      <c r="J33" s="10" t="n">
        <v>0.2219</v>
      </c>
      <c r="K33" s="11" t="n">
        <v>0.004030924951043972</v>
      </c>
      <c r="L33" s="12" t="n">
        <v>6529.09</v>
      </c>
      <c r="M33" s="12" t="n">
        <v>6581.53</v>
      </c>
      <c r="N33" s="12" t="n">
        <v>52.44</v>
      </c>
      <c r="O33" s="13" t="n">
        <v>0.00803174715006226</v>
      </c>
    </row>
    <row r="34">
      <c r="A34" s="5" t="n">
        <v>46297</v>
      </c>
      <c r="B34" s="6" t="n">
        <v>0.4224768518518519</v>
      </c>
      <c r="C34" s="45" t="inlineStr">
        <is>
          <t>Vakıfbank</t>
        </is>
      </c>
      <c r="D34" s="8" t="n">
        <v>48.6346</v>
      </c>
      <c r="E34" s="8" t="n">
        <v>49.6184</v>
      </c>
      <c r="F34" s="8" t="n">
        <v>0.9838</v>
      </c>
      <c r="G34" s="9" t="n">
        <v>0.0202283970671086</v>
      </c>
      <c r="H34" s="10" t="n">
        <v>54.7446</v>
      </c>
      <c r="I34" s="10" t="n">
        <v>55.8784</v>
      </c>
      <c r="J34" s="10" t="n">
        <v>1.1338</v>
      </c>
      <c r="K34" s="11" t="n">
        <v>0.02071071850008951</v>
      </c>
      <c r="L34" s="12" t="n">
        <v>6508.66</v>
      </c>
      <c r="M34" s="12" t="n">
        <v>6651.26</v>
      </c>
      <c r="N34" s="12" t="n">
        <v>142.6</v>
      </c>
      <c r="O34" s="13" t="n">
        <v>0.02190927164731296</v>
      </c>
    </row>
    <row r="35">
      <c r="A35" s="5" t="n">
        <v>46297</v>
      </c>
      <c r="B35" s="6" t="n">
        <v>0.4224768518518519</v>
      </c>
      <c r="C35" s="46" t="inlineStr">
        <is>
          <t>Venüs</t>
        </is>
      </c>
      <c r="D35" s="8" t="n">
        <v>49.022</v>
      </c>
      <c r="E35" s="8" t="n">
        <v>49.091</v>
      </c>
      <c r="F35" s="8" t="n">
        <v>0.06900000000000001</v>
      </c>
      <c r="G35" s="9" t="n">
        <v>0.001407531312471951</v>
      </c>
      <c r="H35" s="10" t="n">
        <v>55.111</v>
      </c>
      <c r="I35" s="10" t="n">
        <v>55.242</v>
      </c>
      <c r="J35" s="10" t="n">
        <v>0.131</v>
      </c>
      <c r="K35" s="11" t="n">
        <v>0.002377020921413148</v>
      </c>
      <c r="L35" s="12" t="n"/>
      <c r="M35" s="12" t="n"/>
      <c r="N35" s="12" t="n"/>
      <c r="O35" s="13" t="n"/>
    </row>
    <row r="36">
      <c r="A36" s="5" t="n">
        <v>46297</v>
      </c>
      <c r="B36" s="6" t="n">
        <v>0.4224768518518519</v>
      </c>
      <c r="C36" s="47" t="inlineStr">
        <is>
          <t>Yapıkredi</t>
        </is>
      </c>
      <c r="D36" s="8" t="n">
        <v>48.46</v>
      </c>
      <c r="E36" s="8" t="n">
        <v>49.46</v>
      </c>
      <c r="F36" s="8" t="n">
        <v>1</v>
      </c>
      <c r="G36" s="9" t="n">
        <v>0.02063557573256294</v>
      </c>
      <c r="H36" s="10" t="n">
        <v>54.53</v>
      </c>
      <c r="I36" s="10" t="n">
        <v>55.65</v>
      </c>
      <c r="J36" s="10" t="n">
        <v>1.12</v>
      </c>
      <c r="K36" s="11" t="n">
        <v>0.02053915275994865</v>
      </c>
      <c r="L36" s="12" t="n">
        <v>6477.77</v>
      </c>
      <c r="M36" s="12" t="n">
        <v>6679.53</v>
      </c>
      <c r="N36" s="12" t="n">
        <v>201.76</v>
      </c>
      <c r="O36" s="13" t="n">
        <v>0.03114652110216942</v>
      </c>
    </row>
    <row r="37">
      <c r="A37" s="5" t="n">
        <v>46297</v>
      </c>
      <c r="B37" s="6" t="n">
        <v>0.4224768518518519</v>
      </c>
      <c r="C37" s="48" t="inlineStr">
        <is>
          <t>Ziraat Bankası</t>
        </is>
      </c>
      <c r="D37" s="8" t="n">
        <v>48.646</v>
      </c>
      <c r="E37" s="8" t="n">
        <v>49.6301</v>
      </c>
      <c r="F37" s="8" t="n">
        <v>0.9841</v>
      </c>
      <c r="G37" s="9" t="n">
        <v>0.02022982362373062</v>
      </c>
      <c r="H37" s="10" t="n">
        <v>54.753</v>
      </c>
      <c r="I37" s="10" t="n">
        <v>55.8607</v>
      </c>
      <c r="J37" s="10" t="n">
        <v>1.1077</v>
      </c>
      <c r="K37" s="11" t="n">
        <v>0.02023085493032345</v>
      </c>
      <c r="L37" s="12" t="n">
        <v>6541.51</v>
      </c>
      <c r="M37" s="12" t="n">
        <v>6673.6</v>
      </c>
      <c r="N37" s="12" t="n">
        <v>132.09</v>
      </c>
      <c r="O37" s="13" t="n">
        <v>0.02019258550395857</v>
      </c>
    </row>
    <row r="38">
      <c r="A38" s="5" t="n">
        <v>46297</v>
      </c>
      <c r="B38" s="6" t="n">
        <v>0.4224768518518519</v>
      </c>
      <c r="C38" s="49" t="inlineStr">
        <is>
          <t>Ziraat Dinamik</t>
        </is>
      </c>
      <c r="D38" s="8" t="n">
        <v>48.6946</v>
      </c>
      <c r="E38" s="8" t="n">
        <v>49.3571</v>
      </c>
      <c r="F38" s="8" t="n">
        <v>0.6625</v>
      </c>
      <c r="G38" s="9" t="n">
        <v>0.01360520468388692</v>
      </c>
      <c r="H38" s="10" t="n">
        <v>54.7453</v>
      </c>
      <c r="I38" s="10" t="n">
        <v>55.5456</v>
      </c>
      <c r="J38" s="10" t="n">
        <v>0.8003</v>
      </c>
      <c r="K38" s="11" t="n">
        <v>0.01461860652877964</v>
      </c>
      <c r="L38" s="12" t="n">
        <v>6509.65</v>
      </c>
      <c r="M38" s="12" t="n">
        <v>6641.09</v>
      </c>
      <c r="N38" s="12" t="n">
        <v>131.44</v>
      </c>
      <c r="O38" s="13" t="n">
        <v>0.02019156175831266</v>
      </c>
    </row>
    <row r="39">
      <c r="A39" s="5" t="n">
        <v>46297</v>
      </c>
      <c r="B39" s="6" t="n">
        <v>0.4224768518518519</v>
      </c>
      <c r="C39" s="50" t="inlineStr">
        <is>
          <t>Ziraat Katılım</t>
        </is>
      </c>
      <c r="D39" s="8" t="n">
        <v>48.607</v>
      </c>
      <c r="E39" s="8" t="n">
        <v>49.6215</v>
      </c>
      <c r="F39" s="8" t="n">
        <v>1.0145</v>
      </c>
      <c r="G39" s="9" t="n">
        <v>0.02087147941654494</v>
      </c>
      <c r="H39" s="10" t="n">
        <v>54.6696</v>
      </c>
      <c r="I39" s="10" t="n">
        <v>55.8659</v>
      </c>
      <c r="J39" s="10" t="n">
        <v>1.1963</v>
      </c>
      <c r="K39" s="11" t="n">
        <v>0.02188236240982191</v>
      </c>
      <c r="L39" s="12" t="n">
        <v>6528.98</v>
      </c>
      <c r="M39" s="12" t="n">
        <v>6736.28</v>
      </c>
      <c r="N39" s="12" t="n">
        <v>207.3</v>
      </c>
      <c r="O39" s="13" t="n">
        <v>0.0317507482026289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</hyperlinks>
  <pageMargins left="0.75" right="0.75" top="1" bottom="1" header="0.5" footer="0.5"/>
  <tableParts count="1">
    <tablePart xmlns:r="http://schemas.openxmlformats.org/officeDocument/2006/relationships" r:id="rId388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46297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0.4224768518518519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0.02022982362373062</v>
      </c>
      <c r="O5" s="73" t="inlineStr">
        <is>
          <t>Ziraat Bankası</t>
        </is>
      </c>
      <c r="P5" s="74" t="n">
        <v>48.646</v>
      </c>
      <c r="Q5" s="74" t="n">
        <v>49.6301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0.02023085493032345</v>
      </c>
      <c r="O6" s="73" t="inlineStr">
        <is>
          <t>Ziraat Bankası</t>
        </is>
      </c>
      <c r="P6" s="74" t="n">
        <v>54.753</v>
      </c>
      <c r="Q6" s="74" t="n">
        <v>55.8607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0.02019258550395857</v>
      </c>
      <c r="O7" s="73" t="inlineStr">
        <is>
          <t>Ziraat Bankası</t>
        </is>
      </c>
      <c r="P7" s="74" t="n">
        <v>6541.51</v>
      </c>
      <c r="Q7" s="74" t="n">
        <v>6673.6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0.02800684771205911</v>
      </c>
      <c r="I15" s="69" t="n">
        <v>0.02800419757568988</v>
      </c>
      <c r="J15" s="70" t="n">
        <v>0.03678280687915585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0.02797753777914515</v>
      </c>
      <c r="I16" s="69" t="n">
        <v>0.0280225457383084</v>
      </c>
      <c r="J16" s="70" t="n">
        <v>0.03557827187939019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0.02065050123681257</v>
      </c>
      <c r="I17" s="69" t="n">
        <v>0.02058921108317067</v>
      </c>
      <c r="J17" s="70" t="n">
        <v>0.03111991830964407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0.02022959146568742</v>
      </c>
      <c r="I18" s="69" t="n">
        <v>0.02023028306850814</v>
      </c>
      <c r="J18" s="70" t="n">
        <v>0.02019202111127605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0.02429379168850448</v>
      </c>
      <c r="I19" s="69" t="n">
        <v>0.02438756920078754</v>
      </c>
      <c r="J19" s="70" t="n">
        <v>0.02745849282771318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0.02800684771205911</v>
      </c>
      <c r="V4" s="55" t="n">
        <v>0.02797753777914515</v>
      </c>
      <c r="W4" s="55" t="n">
        <v>0.02065050123681257</v>
      </c>
      <c r="X4" s="55" t="n">
        <v>0.02022959146568742</v>
      </c>
      <c r="Y4" s="55" t="n">
        <v>0.02429379168850448</v>
      </c>
      <c r="Z4" s="55" t="n">
        <v>0.02800419757568988</v>
      </c>
      <c r="AA4" s="55" t="n">
        <v>0.0280225457383084</v>
      </c>
      <c r="AB4" s="55" t="n">
        <v>0.02058921108317067</v>
      </c>
      <c r="AC4" s="55" t="n">
        <v>0.02023028306850814</v>
      </c>
      <c r="AD4" s="55" t="n">
        <v>0.02438756920078754</v>
      </c>
      <c r="AE4" s="55" t="n">
        <v>0.03678280687915585</v>
      </c>
      <c r="AF4" s="55" t="n">
        <v>0.03557827187939019</v>
      </c>
      <c r="AG4" s="55" t="n">
        <v>0.03111991830964407</v>
      </c>
      <c r="AH4" s="55" t="n">
        <v>0.02019202111127605</v>
      </c>
      <c r="AI4" s="55" t="n">
        <v>0.02745849282771318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2026-10-02T07:09:14Z</dcterms:created>
  <dcterms:modified xsi:type="dcterms:W3CDTF">2026-10-02T07:09:15Z</dcterms:modified>
</cp:coreProperties>
</file>