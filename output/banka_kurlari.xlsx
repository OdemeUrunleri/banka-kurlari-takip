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'GRAFIK_VERILERI'!$B$2:$B$20</f>
              <numCache>
                <formatCode>0.00%</formatCode>
                <ptCount val="1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'GRAFIK_VERILERI'!$C$2:$C$20</f>
              <numCache>
                <formatCode>0.00%</formatCode>
                <ptCount val="1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'GRAFIK_VERILERI'!$D$2:$D$20</f>
              <numCache>
                <formatCode>0.00%</formatCode>
                <ptCount val="1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'GRAFIK_VERILERI'!$E$2:$E$20</f>
              <numCache>
                <formatCode>0.00%</formatCode>
                <ptCount val="1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'GRAFIK_VERILERI'!$F$2:$F$20</f>
              <numCache>
                <formatCode>0.00%</formatCode>
                <ptCount val="1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220101791232"/>
          <min val="0.0122708466205814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'GRAFIK_VERILERI'!$G$2:$G$20</f>
              <numCache>
                <formatCode>0.00%</formatCode>
                <ptCount val="1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'GRAFIK_VERILERI'!$H$2:$H$20</f>
              <numCache>
                <formatCode>0.00%</formatCode>
                <ptCount val="1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'GRAFIK_VERILERI'!$I$2:$I$20</f>
              <numCache>
                <formatCode>0.00%</formatCode>
                <ptCount val="1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'GRAFIK_VERILERI'!$J$2:$J$20</f>
              <numCache>
                <formatCode>0.00%</formatCode>
                <ptCount val="1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'GRAFIK_VERILERI'!$K$2:$K$20</f>
              <numCache>
                <formatCode>0.00%</formatCode>
                <ptCount val="1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'GRAFIK_VERILERI'!$L$2:$L$20</f>
              <numCache>
                <formatCode>0.00%</formatCode>
                <ptCount val="1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'GRAFIK_VERILERI'!$M$2:$M$20</f>
              <numCache>
                <formatCode>0.00%</formatCode>
                <ptCount val="1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'GRAFIK_VERILERI'!$N$2:$N$20</f>
              <numCache>
                <formatCode>0.00%</formatCode>
                <ptCount val="1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'GRAFIK_VERILERI'!$O$2:$O$20</f>
              <numCache>
                <formatCode>0.00%</formatCode>
                <ptCount val="1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'GRAFIK_VERILERI'!$P$2:$P$20</f>
              <numCache>
                <formatCode>0.00%</formatCode>
                <ptCount val="1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0.03207928238935187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0.03609920589444868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0.0291552759293598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0.03106978925169238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0.03255775733056778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37534130227923"/>
          <min val="0.0263874413155007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0.03208079288988166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0.03623809217070791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0.02726376576172006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0.03106981766509078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0.03267578522290612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765092631483"/>
          <min val="0.0236360166093598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0.04591736558900111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0.04905575687690023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0.04228929342416173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0.05339079001743167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0.05474935552944887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6401577428644"/>
          <min val="0.033373963295635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'GRAFIK_VERILERI'!$B$2:$B$20</f>
              <numCache>
                <formatCode>0.00%</formatCode>
                <ptCount val="1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9973371647813"/>
          <min val="0.0253852366171987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'GRAFIK_VERILERI'!$G$2:$G$20</f>
              <numCache>
                <formatCode>0.00%</formatCode>
                <ptCount val="1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620260808356"/>
          <min val="0.0253858761123143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'GRAFIK_VERILERI'!$L$2:$L$20</f>
              <numCache>
                <formatCode>0.00%</formatCode>
                <ptCount val="1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326026134924"/>
          <min val="0.0301350335439330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'GRAFIK_VERILERI'!$C$2:$C$20</f>
              <numCache>
                <formatCode>0.00%</formatCode>
                <ptCount val="1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5109633878169"/>
          <min val="0.0223109722806319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'GRAFIK_VERILERI'!$H$2:$H$20</f>
              <numCache>
                <formatCode>0.00%</formatCode>
                <ptCount val="1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6315625402209"/>
          <min val="0.022359333314741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'GRAFIK_VERILERI'!$M$2:$M$20</f>
              <numCache>
                <formatCode>0.00%</formatCode>
                <ptCount val="1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799820337327"/>
          <min val="0.026037147220367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'GRAFIK_VERILERI'!$D$2:$D$20</f>
              <numCache>
                <formatCode>0.00%</formatCode>
                <ptCount val="1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5446994564567"/>
          <min val="0.0108689250069770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'GRAFIK_VERILERI'!$I$2:$I$20</f>
              <numCache>
                <formatCode>0.00%</formatCode>
                <ptCount val="1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'GRAFIK_VERILERI'!$N$2:$N$20</f>
              <numCache>
                <formatCode>0.00%</formatCode>
                <ptCount val="1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'GRAFIK_VERILERI'!$E$2:$E$20</f>
              <numCache>
                <formatCode>0.00%</formatCode>
                <ptCount val="1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'GRAFIK_VERILERI'!$J$2:$J$20</f>
              <numCache>
                <formatCode>0.00%</formatCode>
                <ptCount val="1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'GRAFIK_VERILERI'!$O$2:$O$20</f>
              <numCache>
                <formatCode>0.00%</formatCode>
                <ptCount val="1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'GRAFIK_VERILERI'!$F$2:$F$20</f>
              <numCache>
                <formatCode>0.00%</formatCode>
                <ptCount val="1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'GRAFIK_VERILERI'!$K$2:$K$20</f>
              <numCache>
                <formatCode>0.00%</formatCode>
                <ptCount val="1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'GRAFIK_VERILERI'!$A$2:$A$20</f>
              <strCache>
                <ptCount val="1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</strCache>
            </strRef>
          </cat>
          <val>
            <numRef>
              <f>'GRAFIK_VERILERI'!$P$2:$P$20</f>
              <numCache>
                <formatCode>0.00%</formatCode>
                <ptCount val="1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4506125945"/>
          <min val="0.00627167274168756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053" headerRowCount="1">
  <autoFilter ref="A1:N205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table" Target="/xl/tables/table2.xml" Id="rId205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46280</v>
      </c>
      <c r="B2" s="6" t="n">
        <v>0.4736805555555555</v>
      </c>
      <c r="C2" s="7" t="inlineStr">
        <is>
          <t>Akbank</t>
        </is>
      </c>
      <c r="D2" s="8" t="n">
        <v>47.844</v>
      </c>
      <c r="E2" s="8" t="n">
        <v>49.194</v>
      </c>
      <c r="F2" s="8" t="n">
        <v>1.35</v>
      </c>
      <c r="G2" s="9" t="n">
        <v>0.02821670428893906</v>
      </c>
      <c r="H2" s="10" t="n">
        <v>55.2021</v>
      </c>
      <c r="I2" s="10" t="n">
        <v>56.7646</v>
      </c>
      <c r="J2" s="10" t="n">
        <v>1.5625</v>
      </c>
      <c r="K2" s="11" t="n">
        <v>0.02830508259649542</v>
      </c>
      <c r="L2" s="12" t="n">
        <v>6505.3</v>
      </c>
      <c r="M2" s="12" t="n">
        <v>6738.75</v>
      </c>
      <c r="N2" s="12" t="n">
        <v>233.45</v>
      </c>
      <c r="O2" s="13" t="n">
        <v>0.03588612362227722</v>
      </c>
    </row>
    <row r="3">
      <c r="A3" s="5" t="n">
        <v>46280</v>
      </c>
      <c r="B3" s="6" t="n">
        <v>0.4736805555555555</v>
      </c>
      <c r="C3" s="14" t="inlineStr">
        <is>
          <t>Albaraka Türk</t>
        </is>
      </c>
      <c r="D3" s="8" t="n">
        <v>48.239</v>
      </c>
      <c r="E3" s="8" t="n">
        <v>49.02</v>
      </c>
      <c r="F3" s="8" t="n">
        <v>0.781</v>
      </c>
      <c r="G3" s="9" t="n">
        <v>0.01619021953191401</v>
      </c>
      <c r="H3" s="10" t="n">
        <v>55.658</v>
      </c>
      <c r="I3" s="10" t="n">
        <v>56.565</v>
      </c>
      <c r="J3" s="10" t="n">
        <v>0.907</v>
      </c>
      <c r="K3" s="11" t="n">
        <v>0.01629595026770635</v>
      </c>
      <c r="L3" s="12" t="n">
        <v>6580.63</v>
      </c>
      <c r="M3" s="12" t="n">
        <v>6715.42</v>
      </c>
      <c r="N3" s="12" t="n">
        <v>134.79</v>
      </c>
      <c r="O3" s="13" t="n">
        <v>0.02048284130850694</v>
      </c>
    </row>
    <row r="4">
      <c r="A4" s="5" t="n">
        <v>46280</v>
      </c>
      <c r="B4" s="6" t="n">
        <v>0.4736805555555555</v>
      </c>
      <c r="C4" s="15" t="inlineStr">
        <is>
          <t>Alternatif Bank</t>
        </is>
      </c>
      <c r="D4" s="8" t="n">
        <v>48.422</v>
      </c>
      <c r="E4" s="8" t="n">
        <v>48.718</v>
      </c>
      <c r="F4" s="8" t="n">
        <v>0.296</v>
      </c>
      <c r="G4" s="9" t="n">
        <v>0.006112923877576309</v>
      </c>
      <c r="H4" s="10" t="n">
        <v>55.698</v>
      </c>
      <c r="I4" s="10" t="n">
        <v>56.216</v>
      </c>
      <c r="J4" s="10" t="n">
        <v>0.518</v>
      </c>
      <c r="K4" s="11" t="n">
        <v>0.009300154404107868</v>
      </c>
      <c r="L4" s="12" t="n">
        <v>6641.68</v>
      </c>
      <c r="M4" s="12" t="n">
        <v>6708.92</v>
      </c>
      <c r="N4" s="12" t="n">
        <v>67.23999999999999</v>
      </c>
      <c r="O4" s="13" t="n">
        <v>0.01012394454415148</v>
      </c>
    </row>
    <row r="5">
      <c r="A5" s="5" t="n">
        <v>46280</v>
      </c>
      <c r="B5" s="6" t="n">
        <v>0.4736805555555555</v>
      </c>
      <c r="C5" s="16" t="inlineStr">
        <is>
          <t>Altınkaynak</t>
        </is>
      </c>
      <c r="D5" s="8" t="n">
        <v>48.511</v>
      </c>
      <c r="E5" s="8" t="n">
        <v>48.7</v>
      </c>
      <c r="F5" s="8" t="n">
        <v>0.189</v>
      </c>
      <c r="G5" s="9" t="n">
        <v>0.003896023582280307</v>
      </c>
      <c r="H5" s="10" t="n">
        <v>55.828</v>
      </c>
      <c r="I5" s="10" t="n">
        <v>56.187</v>
      </c>
      <c r="J5" s="10" t="n">
        <v>0.359</v>
      </c>
      <c r="K5" s="11" t="n">
        <v>0.006430464999641758</v>
      </c>
      <c r="L5" s="12" t="n">
        <v>6593.63</v>
      </c>
      <c r="M5" s="12" t="n">
        <v>6745</v>
      </c>
      <c r="N5" s="12" t="n">
        <v>151.37</v>
      </c>
      <c r="O5" s="13" t="n">
        <v>0.02295700547346454</v>
      </c>
    </row>
    <row r="6">
      <c r="A6" s="5" t="n">
        <v>46280</v>
      </c>
      <c r="B6" s="6" t="n">
        <v>0.4736805555555555</v>
      </c>
      <c r="C6" s="17" t="inlineStr">
        <is>
          <t>Anadolubank</t>
        </is>
      </c>
      <c r="D6" s="8" t="n">
        <v>47.795</v>
      </c>
      <c r="E6" s="8" t="n">
        <v>49.0717</v>
      </c>
      <c r="F6" s="8" t="n">
        <v>1.2767</v>
      </c>
      <c r="G6" s="9" t="n">
        <v>0.02671199916309237</v>
      </c>
      <c r="H6" s="10" t="n">
        <v>55.2392</v>
      </c>
      <c r="I6" s="10" t="n">
        <v>56.6052</v>
      </c>
      <c r="J6" s="10" t="n">
        <v>1.366</v>
      </c>
      <c r="K6" s="11" t="n">
        <v>0.02472881576851222</v>
      </c>
      <c r="L6" s="12" t="n">
        <v>6564.93</v>
      </c>
      <c r="M6" s="12" t="n">
        <v>6716.16</v>
      </c>
      <c r="N6" s="12" t="n">
        <v>151.23</v>
      </c>
      <c r="O6" s="13" t="n">
        <v>0.02303604151148603</v>
      </c>
    </row>
    <row r="7">
      <c r="A7" s="5" t="n">
        <v>46280</v>
      </c>
      <c r="B7" s="6" t="n">
        <v>0.4736805555555555</v>
      </c>
      <c r="C7" s="18" t="inlineStr">
        <is>
          <t>CEPTETEB</t>
        </is>
      </c>
      <c r="D7" s="8" t="n">
        <v>47.638</v>
      </c>
      <c r="E7" s="8" t="n">
        <v>49.574</v>
      </c>
      <c r="F7" s="8" t="n">
        <v>1.936</v>
      </c>
      <c r="G7" s="9" t="n">
        <v>0.0406398253495109</v>
      </c>
      <c r="H7" s="10" t="n">
        <v>54.96</v>
      </c>
      <c r="I7" s="10" t="n">
        <v>57.198</v>
      </c>
      <c r="J7" s="10" t="n">
        <v>2.238</v>
      </c>
      <c r="K7" s="11" t="n">
        <v>0.04072052401746725</v>
      </c>
      <c r="L7" s="12" t="n">
        <v>6559.28</v>
      </c>
      <c r="M7" s="12" t="n">
        <v>6754.35</v>
      </c>
      <c r="N7" s="12" t="n">
        <v>195.07</v>
      </c>
      <c r="O7" s="13" t="n">
        <v>0.02973954458416168</v>
      </c>
    </row>
    <row r="8">
      <c r="A8" s="5" t="n">
        <v>46280</v>
      </c>
      <c r="B8" s="6" t="n">
        <v>0.4736805555555555</v>
      </c>
      <c r="C8" s="19" t="inlineStr">
        <is>
          <t>Denizbank</t>
        </is>
      </c>
      <c r="D8" s="8" t="n">
        <v>47.897</v>
      </c>
      <c r="E8" s="8" t="n">
        <v>49.2971</v>
      </c>
      <c r="F8" s="8" t="n">
        <v>1.4001</v>
      </c>
      <c r="G8" s="9" t="n">
        <v>0.02923147587531578</v>
      </c>
      <c r="H8" s="10" t="n">
        <v>55.2582</v>
      </c>
      <c r="I8" s="10" t="n">
        <v>56.8735</v>
      </c>
      <c r="J8" s="10" t="n">
        <v>1.6153</v>
      </c>
      <c r="K8" s="11" t="n">
        <v>0.02923186061073289</v>
      </c>
      <c r="L8" s="12" t="n">
        <v>6579.44</v>
      </c>
      <c r="M8" s="12" t="n">
        <v>6772.86</v>
      </c>
      <c r="N8" s="12" t="n">
        <v>193.42</v>
      </c>
      <c r="O8" s="13" t="n">
        <v>0.02939763870481378</v>
      </c>
    </row>
    <row r="9">
      <c r="A9" s="5" t="n">
        <v>46280</v>
      </c>
      <c r="B9" s="6" t="n">
        <v>0.4736805555555555</v>
      </c>
      <c r="C9" s="20" t="inlineStr">
        <is>
          <t>DestekBank</t>
        </is>
      </c>
      <c r="D9" s="8" t="n">
        <v>48.5668</v>
      </c>
      <c r="E9" s="8" t="n">
        <v>48.6239</v>
      </c>
      <c r="F9" s="8" t="n">
        <v>0.0571</v>
      </c>
      <c r="G9" s="9" t="n">
        <v>0.001175700272614214</v>
      </c>
      <c r="H9" s="10" t="n">
        <v>56.0202</v>
      </c>
      <c r="I9" s="10" t="n">
        <v>56.1036</v>
      </c>
      <c r="J9" s="10" t="n">
        <v>0.0834</v>
      </c>
      <c r="K9" s="11" t="n">
        <v>0.001488748701361295</v>
      </c>
      <c r="L9" s="12" t="n">
        <v>6627.28</v>
      </c>
      <c r="M9" s="12" t="n">
        <v>6656.1</v>
      </c>
      <c r="N9" s="12" t="n">
        <v>28.82</v>
      </c>
      <c r="O9" s="13" t="n">
        <v>0.004348692072765901</v>
      </c>
    </row>
    <row r="10">
      <c r="A10" s="5" t="n">
        <v>46280</v>
      </c>
      <c r="B10" s="6" t="n">
        <v>0.4736805555555555</v>
      </c>
      <c r="C10" s="21" t="inlineStr">
        <is>
          <t>Dünya Katılım</t>
        </is>
      </c>
      <c r="D10" s="8" t="n">
        <v>48.5799</v>
      </c>
      <c r="E10" s="8" t="n">
        <v>48.6188</v>
      </c>
      <c r="F10" s="8" t="n">
        <v>0.0389</v>
      </c>
      <c r="G10" s="9" t="n">
        <v>0.0008007426939948414</v>
      </c>
      <c r="H10" s="10" t="n">
        <v>55.9974</v>
      </c>
      <c r="I10" s="10" t="n">
        <v>56.1122</v>
      </c>
      <c r="J10" s="10" t="n">
        <v>0.1148</v>
      </c>
      <c r="K10" s="11" t="n">
        <v>0.002050095182990639</v>
      </c>
      <c r="L10" s="12" t="n">
        <v>6627.96</v>
      </c>
      <c r="M10" s="12" t="n">
        <v>6659.59</v>
      </c>
      <c r="N10" s="12" t="n">
        <v>31.63</v>
      </c>
      <c r="O10" s="13" t="n">
        <v>0.004772207436375597</v>
      </c>
    </row>
    <row r="11">
      <c r="A11" s="5" t="n">
        <v>46280</v>
      </c>
      <c r="B11" s="6" t="n">
        <v>0.4736805555555555</v>
      </c>
      <c r="C11" s="22" t="inlineStr">
        <is>
          <t>Emlak Katılım</t>
        </is>
      </c>
      <c r="D11" s="8" t="n">
        <v>48.2647</v>
      </c>
      <c r="E11" s="8" t="n">
        <v>49.5107</v>
      </c>
      <c r="F11" s="8" t="n">
        <v>1.246</v>
      </c>
      <c r="G11" s="9" t="n">
        <v>0.02581596902083717</v>
      </c>
      <c r="H11" s="10" t="n">
        <v>55.5933</v>
      </c>
      <c r="I11" s="10" t="n">
        <v>56.8677</v>
      </c>
      <c r="J11" s="10" t="n">
        <v>1.2744</v>
      </c>
      <c r="K11" s="11" t="n">
        <v>0.02292362568870709</v>
      </c>
      <c r="L11" s="12" t="n">
        <v>6578.65</v>
      </c>
      <c r="M11" s="12" t="n">
        <v>6686.31</v>
      </c>
      <c r="N11" s="12" t="n">
        <v>107.66</v>
      </c>
      <c r="O11" s="13" t="n">
        <v>0.01636505970069847</v>
      </c>
    </row>
    <row r="12">
      <c r="A12" s="5" t="n">
        <v>46280</v>
      </c>
      <c r="B12" s="6" t="n">
        <v>0.4736805555555555</v>
      </c>
      <c r="C12" s="23" t="inlineStr">
        <is>
          <t>Enpara</t>
        </is>
      </c>
      <c r="D12" s="8" t="n">
        <v>48.19</v>
      </c>
      <c r="E12" s="8" t="n">
        <v>49.04</v>
      </c>
      <c r="F12" s="8" t="n">
        <v>0.85</v>
      </c>
      <c r="G12" s="9" t="n">
        <v>0.01763851421456734</v>
      </c>
      <c r="H12" s="10" t="n">
        <v>55.5134</v>
      </c>
      <c r="I12" s="10" t="n">
        <v>56.6672</v>
      </c>
      <c r="J12" s="10" t="n">
        <v>1.1538</v>
      </c>
      <c r="K12" s="11" t="n">
        <v>0.02078417102897679</v>
      </c>
      <c r="L12" s="12" t="n">
        <v>6577.15</v>
      </c>
      <c r="M12" s="12" t="n">
        <v>6722.74</v>
      </c>
      <c r="N12" s="12" t="n">
        <v>145.59</v>
      </c>
      <c r="O12" s="13" t="n">
        <v>0.02213572748074774</v>
      </c>
    </row>
    <row r="13">
      <c r="A13" s="5" t="n">
        <v>46280</v>
      </c>
      <c r="B13" s="6" t="n">
        <v>0.4736805555555555</v>
      </c>
      <c r="C13" s="24" t="inlineStr">
        <is>
          <t>Fibabanka</t>
        </is>
      </c>
      <c r="D13" s="8" t="n">
        <v>48.3401</v>
      </c>
      <c r="E13" s="8" t="n">
        <v>48.9477</v>
      </c>
      <c r="F13" s="8" t="n">
        <v>0.6076</v>
      </c>
      <c r="G13" s="9" t="n">
        <v>0.01256927478428882</v>
      </c>
      <c r="H13" s="10" t="n">
        <v>55.7824</v>
      </c>
      <c r="I13" s="10" t="n">
        <v>56.4434</v>
      </c>
      <c r="J13" s="10" t="n">
        <v>0.661</v>
      </c>
      <c r="K13" s="11" t="n">
        <v>0.01184961564938045</v>
      </c>
      <c r="L13" s="12" t="n">
        <v>6648.84</v>
      </c>
      <c r="M13" s="12" t="n">
        <v>6703.14</v>
      </c>
      <c r="N13" s="12" t="n">
        <v>54.3</v>
      </c>
      <c r="O13" s="13" t="n">
        <v>0.008166838125146642</v>
      </c>
    </row>
    <row r="14">
      <c r="A14" s="5" t="n">
        <v>46280</v>
      </c>
      <c r="B14" s="6" t="n">
        <v>0.4736805555555555</v>
      </c>
      <c r="C14" s="25" t="inlineStr">
        <is>
          <t>Garanti BBVA</t>
        </is>
      </c>
      <c r="D14" s="8" t="n">
        <v>47.797</v>
      </c>
      <c r="E14" s="8" t="n">
        <v>49.147</v>
      </c>
      <c r="F14" s="8" t="n">
        <v>1.35</v>
      </c>
      <c r="G14" s="9" t="n">
        <v>0.02824445048852438</v>
      </c>
      <c r="H14" s="10" t="n">
        <v>55.143</v>
      </c>
      <c r="I14" s="10" t="n">
        <v>56.701</v>
      </c>
      <c r="J14" s="10" t="n">
        <v>1.558</v>
      </c>
      <c r="K14" s="11" t="n">
        <v>0.02825381281395644</v>
      </c>
      <c r="L14" s="12" t="n">
        <v>6545.93</v>
      </c>
      <c r="M14" s="12" t="n">
        <v>6787.45</v>
      </c>
      <c r="N14" s="12" t="n">
        <v>241.52</v>
      </c>
      <c r="O14" s="13" t="n">
        <v>0.03689620878927822</v>
      </c>
    </row>
    <row r="15">
      <c r="A15" s="5" t="n">
        <v>46280</v>
      </c>
      <c r="B15" s="6" t="n">
        <v>0.4736805555555555</v>
      </c>
      <c r="C15" s="26" t="inlineStr">
        <is>
          <t>Getirfinans</t>
        </is>
      </c>
      <c r="D15" s="8" t="n">
        <v>48.3404</v>
      </c>
      <c r="E15" s="8" t="n">
        <v>48.9474</v>
      </c>
      <c r="F15" s="8" t="n">
        <v>0.607</v>
      </c>
      <c r="G15" s="9" t="n">
        <v>0.01255678480111873</v>
      </c>
      <c r="H15" s="10" t="n">
        <v>55.7839</v>
      </c>
      <c r="I15" s="10" t="n">
        <v>56.4448</v>
      </c>
      <c r="J15" s="10" t="n">
        <v>0.6609</v>
      </c>
      <c r="K15" s="11" t="n">
        <v>0.01184750438746663</v>
      </c>
      <c r="L15" s="12" t="n">
        <v>6648.89</v>
      </c>
      <c r="M15" s="12" t="n">
        <v>6703.2</v>
      </c>
      <c r="N15" s="12" t="n">
        <v>54.31</v>
      </c>
      <c r="O15" s="13" t="n">
        <v>0.008168280720541323</v>
      </c>
    </row>
    <row r="16">
      <c r="A16" s="5" t="n">
        <v>46280</v>
      </c>
      <c r="B16" s="6" t="n">
        <v>0.4736805555555555</v>
      </c>
      <c r="C16" s="27" t="inlineStr">
        <is>
          <t>Halkbank</t>
        </is>
      </c>
      <c r="D16" s="8" t="n">
        <v>48.2097</v>
      </c>
      <c r="E16" s="8" t="n">
        <v>49.1897</v>
      </c>
      <c r="F16" s="8" t="n">
        <v>0.98</v>
      </c>
      <c r="G16" s="9" t="n">
        <v>0.02032785933121343</v>
      </c>
      <c r="H16" s="10" t="n">
        <v>55.6268</v>
      </c>
      <c r="I16" s="10" t="n">
        <v>56.7575</v>
      </c>
      <c r="J16" s="10" t="n">
        <v>1.1307</v>
      </c>
      <c r="K16" s="11" t="n">
        <v>0.02032653325375538</v>
      </c>
      <c r="L16" s="12" t="n">
        <v>6578.94</v>
      </c>
      <c r="M16" s="12" t="n">
        <v>6780.04</v>
      </c>
      <c r="N16" s="12" t="n">
        <v>201.1</v>
      </c>
      <c r="O16" s="13" t="n">
        <v>0.03056723423530234</v>
      </c>
    </row>
    <row r="17">
      <c r="A17" s="5" t="n">
        <v>46280</v>
      </c>
      <c r="B17" s="6" t="n">
        <v>0.4736805555555555</v>
      </c>
      <c r="C17" s="28" t="inlineStr">
        <is>
          <t>Harem</t>
        </is>
      </c>
      <c r="D17" s="8" t="n">
        <v>48.6</v>
      </c>
      <c r="E17" s="8" t="n">
        <v>48.66</v>
      </c>
      <c r="F17" s="8" t="n">
        <v>0.06</v>
      </c>
      <c r="G17" s="9" t="n">
        <v>0.001234567901234568</v>
      </c>
      <c r="H17" s="10" t="n">
        <v>55.933</v>
      </c>
      <c r="I17" s="10" t="n">
        <v>56.092</v>
      </c>
      <c r="J17" s="10" t="n">
        <v>0.159</v>
      </c>
      <c r="K17" s="11" t="n">
        <v>0.002842686785976079</v>
      </c>
      <c r="L17" s="12" t="n">
        <v>6620.21</v>
      </c>
      <c r="M17" s="12" t="n">
        <v>6696.08</v>
      </c>
      <c r="N17" s="12" t="n">
        <v>75.87</v>
      </c>
      <c r="O17" s="13" t="n">
        <v>0.01146036152931705</v>
      </c>
    </row>
    <row r="18">
      <c r="A18" s="5" t="n">
        <v>46280</v>
      </c>
      <c r="B18" s="6" t="n">
        <v>0.4736805555555555</v>
      </c>
      <c r="C18" s="29" t="inlineStr">
        <is>
          <t>Hayat Finans</t>
        </is>
      </c>
      <c r="D18" s="8" t="n">
        <v>48.5601</v>
      </c>
      <c r="E18" s="8" t="n">
        <v>48.7076</v>
      </c>
      <c r="F18" s="8" t="n">
        <v>0.1475</v>
      </c>
      <c r="G18" s="9" t="n">
        <v>0.003037473151826294</v>
      </c>
      <c r="H18" s="10" t="n">
        <v>56.0104</v>
      </c>
      <c r="I18" s="10" t="n">
        <v>56.1823</v>
      </c>
      <c r="J18" s="10" t="n">
        <v>0.1719</v>
      </c>
      <c r="K18" s="11" t="n">
        <v>0.003069072886463942</v>
      </c>
      <c r="L18" s="12" t="n">
        <v>6638.18</v>
      </c>
      <c r="M18" s="12" t="n">
        <v>6685.2</v>
      </c>
      <c r="N18" s="12" t="n">
        <v>47.02</v>
      </c>
      <c r="O18" s="13" t="n">
        <v>0.007083266799032265</v>
      </c>
    </row>
    <row r="19">
      <c r="A19" s="5" t="n">
        <v>46280</v>
      </c>
      <c r="B19" s="6" t="n">
        <v>0.4736805555555555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6616.5</v>
      </c>
      <c r="M19" s="12" t="n">
        <v>6809.99</v>
      </c>
      <c r="N19" s="12" t="n">
        <v>193.49</v>
      </c>
      <c r="O19" s="13" t="n">
        <v>0.02924355777223607</v>
      </c>
    </row>
    <row r="20">
      <c r="A20" s="5" t="n">
        <v>46280</v>
      </c>
      <c r="B20" s="6" t="n">
        <v>0.4736805555555555</v>
      </c>
      <c r="C20" s="31" t="inlineStr">
        <is>
          <t>HSBC</t>
        </is>
      </c>
      <c r="D20" s="8" t="n">
        <v>48.1482</v>
      </c>
      <c r="E20" s="8" t="n">
        <v>49.0317</v>
      </c>
      <c r="F20" s="8" t="n">
        <v>0.8835</v>
      </c>
      <c r="G20" s="9" t="n">
        <v>0.0183495956235124</v>
      </c>
      <c r="H20" s="10" t="n">
        <v>55.5489</v>
      </c>
      <c r="I20" s="10" t="n">
        <v>56.6038</v>
      </c>
      <c r="J20" s="10" t="n">
        <v>1.0549</v>
      </c>
      <c r="K20" s="11" t="n">
        <v>0.01899047505891206</v>
      </c>
      <c r="L20" s="12" t="n">
        <v>6581.11</v>
      </c>
      <c r="M20" s="12" t="n">
        <v>7027.07</v>
      </c>
      <c r="N20" s="12" t="n">
        <v>445.96</v>
      </c>
      <c r="O20" s="13" t="n">
        <v>0.06776364473470281</v>
      </c>
    </row>
    <row r="21">
      <c r="A21" s="5" t="n">
        <v>46280</v>
      </c>
      <c r="B21" s="6" t="n">
        <v>0.4736805555555555</v>
      </c>
      <c r="C21" s="32" t="inlineStr">
        <is>
          <t>ING Bank</t>
        </is>
      </c>
      <c r="D21" s="8" t="n">
        <v>48.0938</v>
      </c>
      <c r="E21" s="8" t="n">
        <v>49.097</v>
      </c>
      <c r="F21" s="8" t="n">
        <v>1.0032</v>
      </c>
      <c r="G21" s="9" t="n">
        <v>0.02085923757324229</v>
      </c>
      <c r="H21" s="10" t="n">
        <v>55.5666</v>
      </c>
      <c r="I21" s="10" t="n">
        <v>56.5732</v>
      </c>
      <c r="J21" s="10" t="n">
        <v>1.0066</v>
      </c>
      <c r="K21" s="11" t="n">
        <v>0.01811519869849874</v>
      </c>
      <c r="L21" s="12" t="n">
        <v>6549.06</v>
      </c>
      <c r="M21" s="12" t="n">
        <v>6800.94</v>
      </c>
      <c r="N21" s="12" t="n">
        <v>251.88</v>
      </c>
      <c r="O21" s="13" t="n">
        <v>0.0384604813515222</v>
      </c>
    </row>
    <row r="22">
      <c r="A22" s="5" t="n">
        <v>46280</v>
      </c>
      <c r="B22" s="6" t="n">
        <v>0.4736805555555555</v>
      </c>
      <c r="C22" s="33" t="inlineStr">
        <is>
          <t>İş Bankası</t>
        </is>
      </c>
      <c r="D22" s="8" t="n">
        <v>48.0179</v>
      </c>
      <c r="E22" s="8" t="n">
        <v>49.1801</v>
      </c>
      <c r="F22" s="8" t="n">
        <v>1.1622</v>
      </c>
      <c r="G22" s="9" t="n">
        <v>0.024203474121109</v>
      </c>
      <c r="H22" s="10" t="n">
        <v>55.3934</v>
      </c>
      <c r="I22" s="10" t="n">
        <v>56.744</v>
      </c>
      <c r="J22" s="10" t="n">
        <v>1.3506</v>
      </c>
      <c r="K22" s="11" t="n">
        <v>0.0243819660826019</v>
      </c>
      <c r="L22" s="12" t="n">
        <v>6572.53</v>
      </c>
      <c r="M22" s="12" t="n">
        <v>6752.98</v>
      </c>
      <c r="N22" s="12" t="n">
        <v>180.45</v>
      </c>
      <c r="O22" s="13" t="n">
        <v>0.02745518088163918</v>
      </c>
    </row>
    <row r="23">
      <c r="A23" s="5" t="n">
        <v>46280</v>
      </c>
      <c r="B23" s="6" t="n">
        <v>0.4736805555555555</v>
      </c>
      <c r="C23" s="34" t="inlineStr">
        <is>
          <t>Kapalıçarşı</t>
        </is>
      </c>
      <c r="D23" s="8" t="n">
        <v>48.62</v>
      </c>
      <c r="E23" s="8" t="n">
        <v>48.64</v>
      </c>
      <c r="F23" s="8" t="n">
        <v>0.02</v>
      </c>
      <c r="G23" s="9" t="n">
        <v>0.0004113533525298231</v>
      </c>
      <c r="H23" s="10" t="n">
        <v>56</v>
      </c>
      <c r="I23" s="10" t="n">
        <v>56.05</v>
      </c>
      <c r="J23" s="10" t="n">
        <v>0.05</v>
      </c>
      <c r="K23" s="11" t="n">
        <v>0.0008928571428571428</v>
      </c>
      <c r="L23" s="12" t="n">
        <v>6674.1</v>
      </c>
      <c r="M23" s="12" t="n">
        <v>6680.36</v>
      </c>
      <c r="N23" s="12" t="n">
        <v>6.26</v>
      </c>
      <c r="O23" s="13" t="n">
        <v>0.0009379541810880868</v>
      </c>
    </row>
    <row r="24">
      <c r="A24" s="5" t="n">
        <v>46280</v>
      </c>
      <c r="B24" s="6" t="n">
        <v>0.4736805555555555</v>
      </c>
      <c r="C24" s="35" t="inlineStr">
        <is>
          <t>Kuveyt Türk</t>
        </is>
      </c>
      <c r="D24" s="8" t="n">
        <v>47.9311</v>
      </c>
      <c r="E24" s="8" t="n">
        <v>48.9543</v>
      </c>
      <c r="F24" s="8" t="n">
        <v>1.0232</v>
      </c>
      <c r="G24" s="9" t="n">
        <v>0.02134730894972158</v>
      </c>
      <c r="H24" s="10" t="n">
        <v>55.3</v>
      </c>
      <c r="I24" s="10" t="n">
        <v>56.481</v>
      </c>
      <c r="J24" s="10" t="n">
        <v>1.181</v>
      </c>
      <c r="K24" s="11" t="n">
        <v>0.02135623869801085</v>
      </c>
      <c r="L24" s="12" t="n">
        <v>6568.3</v>
      </c>
      <c r="M24" s="12" t="n">
        <v>6741.6</v>
      </c>
      <c r="N24" s="12" t="n">
        <v>173.3</v>
      </c>
      <c r="O24" s="13" t="n">
        <v>0.02638430035168917</v>
      </c>
    </row>
    <row r="25">
      <c r="A25" s="5" t="n">
        <v>46280</v>
      </c>
      <c r="B25" s="6" t="n">
        <v>0.4736805555555555</v>
      </c>
      <c r="C25" s="36" t="inlineStr">
        <is>
          <t>Merkez Bankası</t>
        </is>
      </c>
      <c r="D25" s="8" t="n">
        <v>48.5343</v>
      </c>
      <c r="E25" s="8" t="n">
        <v>48.6218</v>
      </c>
      <c r="F25" s="8" t="n">
        <v>0.08749999999999999</v>
      </c>
      <c r="G25" s="9" t="n">
        <v>0.001802848706996907</v>
      </c>
      <c r="H25" s="10" t="n">
        <v>56.0284</v>
      </c>
      <c r="I25" s="10" t="n">
        <v>56.1294</v>
      </c>
      <c r="J25" s="10" t="n">
        <v>0.101</v>
      </c>
      <c r="K25" s="11" t="n">
        <v>0.001802657223836483</v>
      </c>
      <c r="L25" s="12" t="n"/>
      <c r="M25" s="12" t="n"/>
      <c r="N25" s="12" t="n"/>
      <c r="O25" s="13" t="n"/>
    </row>
    <row r="26">
      <c r="A26" s="5" t="n">
        <v>46280</v>
      </c>
      <c r="B26" s="6" t="n">
        <v>0.4736805555555555</v>
      </c>
      <c r="C26" s="37" t="inlineStr">
        <is>
          <t>Misyon Bank</t>
        </is>
      </c>
      <c r="D26" s="8" t="n">
        <v>48.5689</v>
      </c>
      <c r="E26" s="8" t="n">
        <v>48.6225</v>
      </c>
      <c r="F26" s="8" t="n">
        <v>0.0536</v>
      </c>
      <c r="G26" s="9" t="n">
        <v>0.001103586863198466</v>
      </c>
      <c r="H26" s="10" t="n">
        <v>56.0223</v>
      </c>
      <c r="I26" s="10" t="n">
        <v>56.1028</v>
      </c>
      <c r="J26" s="10" t="n">
        <v>0.0805</v>
      </c>
      <c r="K26" s="11" t="n">
        <v>0.001436927794824561</v>
      </c>
      <c r="L26" s="12" t="n">
        <v>6627.2</v>
      </c>
      <c r="M26" s="12" t="n">
        <v>6655.45</v>
      </c>
      <c r="N26" s="12" t="n">
        <v>28.25</v>
      </c>
      <c r="O26" s="13" t="n">
        <v>0.004262735393529696</v>
      </c>
    </row>
    <row r="27">
      <c r="A27" s="5" t="n">
        <v>46280</v>
      </c>
      <c r="B27" s="6" t="n">
        <v>0.4736805555555555</v>
      </c>
      <c r="C27" s="38" t="inlineStr">
        <is>
          <t>Odacı</t>
        </is>
      </c>
      <c r="D27" s="8" t="n">
        <v>48.519</v>
      </c>
      <c r="E27" s="8" t="n">
        <v>48.735</v>
      </c>
      <c r="F27" s="8" t="n">
        <v>0.216</v>
      </c>
      <c r="G27" s="9" t="n">
        <v>0.004451864218141347</v>
      </c>
      <c r="H27" s="10" t="n">
        <v>55.878</v>
      </c>
      <c r="I27" s="10" t="n">
        <v>56.136</v>
      </c>
      <c r="J27" s="10" t="n">
        <v>0.258</v>
      </c>
      <c r="K27" s="11" t="n">
        <v>0.004617201760979277</v>
      </c>
      <c r="L27" s="12" t="n">
        <v>6635</v>
      </c>
      <c r="M27" s="12" t="n">
        <v>6686</v>
      </c>
      <c r="N27" s="12" t="n">
        <v>51</v>
      </c>
      <c r="O27" s="13" t="n">
        <v>0.007686510926902789</v>
      </c>
    </row>
    <row r="28">
      <c r="A28" s="5" t="n">
        <v>46280</v>
      </c>
      <c r="B28" s="6" t="n">
        <v>0.4736805555555555</v>
      </c>
      <c r="C28" s="39" t="inlineStr">
        <is>
          <t>Odeabank</t>
        </is>
      </c>
      <c r="D28" s="8" t="n">
        <v>48.1055</v>
      </c>
      <c r="E28" s="8" t="n">
        <v>49.1055</v>
      </c>
      <c r="F28" s="8" t="n">
        <v>1</v>
      </c>
      <c r="G28" s="9" t="n">
        <v>0.02078764382451071</v>
      </c>
      <c r="H28" s="10" t="n">
        <v>55.534</v>
      </c>
      <c r="I28" s="10" t="n">
        <v>56.624</v>
      </c>
      <c r="J28" s="10" t="n">
        <v>1.09</v>
      </c>
      <c r="K28" s="11" t="n">
        <v>0.01962761551481975</v>
      </c>
      <c r="L28" s="12" t="n">
        <v>6625.6</v>
      </c>
      <c r="M28" s="12" t="n">
        <v>6725.6</v>
      </c>
      <c r="N28" s="12" t="n">
        <v>100</v>
      </c>
      <c r="O28" s="13" t="n">
        <v>0.01509297271190534</v>
      </c>
    </row>
    <row r="29">
      <c r="A29" s="5" t="n">
        <v>46280</v>
      </c>
      <c r="B29" s="6" t="n">
        <v>0.4736805555555555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6616.39</v>
      </c>
      <c r="M29" s="12" t="n">
        <v>6796.29</v>
      </c>
      <c r="N29" s="12" t="n">
        <v>179.9</v>
      </c>
      <c r="O29" s="13" t="n">
        <v>0.02719005379066228</v>
      </c>
    </row>
    <row r="30">
      <c r="A30" s="5" t="n">
        <v>46280</v>
      </c>
      <c r="B30" s="6" t="n">
        <v>0.4736805555555555</v>
      </c>
      <c r="C30" s="41" t="inlineStr">
        <is>
          <t>QNB Finansbank</t>
        </is>
      </c>
      <c r="D30" s="8" t="n">
        <v>48.03</v>
      </c>
      <c r="E30" s="8" t="n">
        <v>49.25</v>
      </c>
      <c r="F30" s="8" t="n">
        <v>1.22</v>
      </c>
      <c r="G30" s="9" t="n">
        <v>0.02540079117218405</v>
      </c>
      <c r="H30" s="10" t="n">
        <v>55.2959</v>
      </c>
      <c r="I30" s="10" t="n">
        <v>56.949</v>
      </c>
      <c r="J30" s="10" t="n">
        <v>1.6531</v>
      </c>
      <c r="K30" s="11" t="n">
        <v>0.0298955257080543</v>
      </c>
      <c r="L30" s="12" t="n">
        <v>6551.3</v>
      </c>
      <c r="M30" s="12" t="n">
        <v>6747.43</v>
      </c>
      <c r="N30" s="12" t="n">
        <v>196.13</v>
      </c>
      <c r="O30" s="13" t="n">
        <v>0.02993756964266634</v>
      </c>
    </row>
    <row r="31">
      <c r="A31" s="5" t="n">
        <v>46280</v>
      </c>
      <c r="B31" s="6" t="n">
        <v>0.4736805555555555</v>
      </c>
      <c r="C31" s="42" t="inlineStr">
        <is>
          <t>TOM Bank Hadi</t>
        </is>
      </c>
      <c r="D31" s="8" t="n">
        <v>48.6399</v>
      </c>
      <c r="E31" s="8" t="n">
        <v>48.6399</v>
      </c>
      <c r="F31" s="8" t="n">
        <v>0</v>
      </c>
      <c r="G31" s="9" t="n">
        <v>0</v>
      </c>
      <c r="H31" s="10" t="n">
        <v>56.1192</v>
      </c>
      <c r="I31" s="10" t="n">
        <v>56.1192</v>
      </c>
      <c r="J31" s="10" t="n">
        <v>0</v>
      </c>
      <c r="K31" s="11" t="n">
        <v>0</v>
      </c>
      <c r="L31" s="12" t="n">
        <v>6647.95</v>
      </c>
      <c r="M31" s="12" t="n">
        <v>6647.95</v>
      </c>
      <c r="N31" s="12" t="n">
        <v>0</v>
      </c>
      <c r="O31" s="13" t="n">
        <v>0</v>
      </c>
    </row>
    <row r="32">
      <c r="A32" s="5" t="n">
        <v>46280</v>
      </c>
      <c r="B32" s="6" t="n">
        <v>0.4736805555555555</v>
      </c>
      <c r="C32" s="43" t="inlineStr">
        <is>
          <t>Türkiye Finans</t>
        </is>
      </c>
      <c r="D32" s="8" t="n">
        <v>48.1939</v>
      </c>
      <c r="E32" s="8" t="n">
        <v>48.9964</v>
      </c>
      <c r="F32" s="8" t="n">
        <v>0.8025</v>
      </c>
      <c r="G32" s="9" t="n">
        <v>0.0166514849389653</v>
      </c>
      <c r="H32" s="10" t="n">
        <v>55.6402</v>
      </c>
      <c r="I32" s="10" t="n">
        <v>56.4917</v>
      </c>
      <c r="J32" s="10" t="n">
        <v>0.8515</v>
      </c>
      <c r="K32" s="11" t="n">
        <v>0.01530368330811176</v>
      </c>
      <c r="L32" s="12" t="n">
        <v>6578.22</v>
      </c>
      <c r="M32" s="12" t="n">
        <v>6774.51</v>
      </c>
      <c r="N32" s="12" t="n">
        <v>196.29</v>
      </c>
      <c r="O32" s="13" t="n">
        <v>0.02983937904174686</v>
      </c>
    </row>
    <row r="33">
      <c r="A33" s="5" t="n">
        <v>46280</v>
      </c>
      <c r="B33" s="6" t="n">
        <v>0.4736805555555555</v>
      </c>
      <c r="C33" s="44" t="inlineStr">
        <is>
          <t>Vakıf Katılım</t>
        </is>
      </c>
      <c r="D33" s="8" t="n">
        <v>48.4955</v>
      </c>
      <c r="E33" s="8" t="n">
        <v>48.7</v>
      </c>
      <c r="F33" s="8" t="n">
        <v>0.2045</v>
      </c>
      <c r="G33" s="9" t="n">
        <v>0.004216886102834283</v>
      </c>
      <c r="H33" s="10" t="n">
        <v>55.9428</v>
      </c>
      <c r="I33" s="10" t="n">
        <v>56.1682</v>
      </c>
      <c r="J33" s="10" t="n">
        <v>0.2254</v>
      </c>
      <c r="K33" s="11" t="n">
        <v>0.004029115453641935</v>
      </c>
      <c r="L33" s="12" t="n">
        <v>6615.86</v>
      </c>
      <c r="M33" s="12" t="n">
        <v>6669</v>
      </c>
      <c r="N33" s="12" t="n">
        <v>53.14</v>
      </c>
      <c r="O33" s="13" t="n">
        <v>0.008032213499076462</v>
      </c>
    </row>
    <row r="34">
      <c r="A34" s="5" t="n">
        <v>46280</v>
      </c>
      <c r="B34" s="6" t="n">
        <v>0.4736805555555555</v>
      </c>
      <c r="C34" s="45" t="inlineStr">
        <is>
          <t>Vakıfbank</t>
        </is>
      </c>
      <c r="D34" s="8" t="n">
        <v>48.232</v>
      </c>
      <c r="E34" s="8" t="n">
        <v>49.202</v>
      </c>
      <c r="F34" s="8" t="n">
        <v>0.97</v>
      </c>
      <c r="G34" s="9" t="n">
        <v>0.02011112954055399</v>
      </c>
      <c r="H34" s="10" t="n">
        <v>55.5272</v>
      </c>
      <c r="I34" s="10" t="n">
        <v>56.6663</v>
      </c>
      <c r="J34" s="10" t="n">
        <v>1.1391</v>
      </c>
      <c r="K34" s="11" t="n">
        <v>0.02051427048365486</v>
      </c>
      <c r="L34" s="12" t="n">
        <v>6581.78</v>
      </c>
      <c r="M34" s="12" t="n">
        <v>6726.38</v>
      </c>
      <c r="N34" s="12" t="n">
        <v>144.6</v>
      </c>
      <c r="O34" s="13" t="n">
        <v>0.02196974070844057</v>
      </c>
    </row>
    <row r="35">
      <c r="A35" s="5" t="n">
        <v>46280</v>
      </c>
      <c r="B35" s="6" t="n">
        <v>0.4736805555555555</v>
      </c>
      <c r="C35" s="46" t="inlineStr">
        <is>
          <t>Venüs</t>
        </is>
      </c>
      <c r="D35" s="8" t="n">
        <v>48.61</v>
      </c>
      <c r="E35" s="8" t="n">
        <v>48.65</v>
      </c>
      <c r="F35" s="8" t="n">
        <v>0.04</v>
      </c>
      <c r="G35" s="9" t="n">
        <v>0.0008228759514503189</v>
      </c>
      <c r="H35" s="10" t="n">
        <v>55.945</v>
      </c>
      <c r="I35" s="10" t="n">
        <v>56.074</v>
      </c>
      <c r="J35" s="10" t="n">
        <v>0.129</v>
      </c>
      <c r="K35" s="11" t="n">
        <v>0.002305836089015998</v>
      </c>
      <c r="L35" s="12" t="n"/>
      <c r="M35" s="12" t="n"/>
      <c r="N35" s="12" t="n"/>
      <c r="O35" s="13" t="n"/>
    </row>
    <row r="36">
      <c r="A36" s="5" t="n">
        <v>46280</v>
      </c>
      <c r="B36" s="6" t="n">
        <v>0.4736805555555555</v>
      </c>
      <c r="C36" s="47" t="inlineStr">
        <is>
          <t>Yapıkredi</t>
        </is>
      </c>
      <c r="D36" s="8" t="n">
        <v>48.06</v>
      </c>
      <c r="E36" s="8" t="n">
        <v>48.97</v>
      </c>
      <c r="F36" s="8" t="n">
        <v>0.91</v>
      </c>
      <c r="G36" s="9" t="n">
        <v>0.01893466500208073</v>
      </c>
      <c r="H36" s="10" t="n">
        <v>55.47</v>
      </c>
      <c r="I36" s="10" t="n">
        <v>56.48</v>
      </c>
      <c r="J36" s="10" t="n">
        <v>1.01</v>
      </c>
      <c r="K36" s="11" t="n">
        <v>0.01820804038218857</v>
      </c>
      <c r="L36" s="12" t="n">
        <v>6562.41</v>
      </c>
      <c r="M36" s="12" t="n">
        <v>6750.74</v>
      </c>
      <c r="N36" s="12" t="n">
        <v>188.33</v>
      </c>
      <c r="O36" s="13" t="n">
        <v>0.02869829833856769</v>
      </c>
    </row>
    <row r="37">
      <c r="A37" s="5" t="n">
        <v>46280</v>
      </c>
      <c r="B37" s="6" t="n">
        <v>0.4736805555555555</v>
      </c>
      <c r="C37" s="48" t="inlineStr">
        <is>
          <t>Ziraat Bankası</t>
        </is>
      </c>
      <c r="D37" s="8" t="n">
        <v>48.2301</v>
      </c>
      <c r="E37" s="8" t="n">
        <v>49.2059</v>
      </c>
      <c r="F37" s="8" t="n">
        <v>0.9758</v>
      </c>
      <c r="G37" s="9" t="n">
        <v>0.02023217866021427</v>
      </c>
      <c r="H37" s="10" t="n">
        <v>55.6351</v>
      </c>
      <c r="I37" s="10" t="n">
        <v>56.7607</v>
      </c>
      <c r="J37" s="10" t="n">
        <v>1.1256</v>
      </c>
      <c r="K37" s="11" t="n">
        <v>0.02023183206285241</v>
      </c>
      <c r="L37" s="12" t="n">
        <v>6612.85</v>
      </c>
      <c r="M37" s="12" t="n">
        <v>6746.38</v>
      </c>
      <c r="N37" s="12" t="n">
        <v>133.53</v>
      </c>
      <c r="O37" s="13" t="n">
        <v>0.02019250398844674</v>
      </c>
    </row>
    <row r="38">
      <c r="A38" s="5" t="n">
        <v>46280</v>
      </c>
      <c r="B38" s="6" t="n">
        <v>0.4736805555555555</v>
      </c>
      <c r="C38" s="49" t="inlineStr">
        <is>
          <t>Ziraat Dinamik</t>
        </is>
      </c>
      <c r="D38" s="8" t="n">
        <v>48.2783</v>
      </c>
      <c r="E38" s="8" t="n">
        <v>48.9353</v>
      </c>
      <c r="F38" s="8" t="n">
        <v>0.657</v>
      </c>
      <c r="G38" s="9" t="n">
        <v>0.01360859848006247</v>
      </c>
      <c r="H38" s="10" t="n">
        <v>55.639</v>
      </c>
      <c r="I38" s="10" t="n">
        <v>56.4524</v>
      </c>
      <c r="J38" s="10" t="n">
        <v>0.8134</v>
      </c>
      <c r="K38" s="11" t="n">
        <v>0.0146192418986682</v>
      </c>
      <c r="L38" s="12" t="n">
        <v>6585.82</v>
      </c>
      <c r="M38" s="12" t="n">
        <v>6718.8</v>
      </c>
      <c r="N38" s="12" t="n">
        <v>132.98</v>
      </c>
      <c r="O38" s="13" t="n">
        <v>0.02019186676829916</v>
      </c>
    </row>
    <row r="39">
      <c r="A39" s="5" t="n">
        <v>46280</v>
      </c>
      <c r="B39" s="6" t="n">
        <v>0.4736805555555555</v>
      </c>
      <c r="C39" s="50" t="inlineStr">
        <is>
          <t>Ziraat Katılım</t>
        </is>
      </c>
      <c r="D39" s="8" t="n">
        <v>48.1075</v>
      </c>
      <c r="E39" s="8" t="n">
        <v>49.1114</v>
      </c>
      <c r="F39" s="8" t="n">
        <v>1.0039</v>
      </c>
      <c r="G39" s="9" t="n">
        <v>0.02086784804864106</v>
      </c>
      <c r="H39" s="10" t="n">
        <v>55.4682</v>
      </c>
      <c r="I39" s="10" t="n">
        <v>56.6813</v>
      </c>
      <c r="J39" s="10" t="n">
        <v>1.2131</v>
      </c>
      <c r="K39" s="11" t="n">
        <v>0.0218701886846878</v>
      </c>
      <c r="L39" s="12" t="n">
        <v>6605.61</v>
      </c>
      <c r="M39" s="12" t="n">
        <v>6815.31</v>
      </c>
      <c r="N39" s="12" t="n">
        <v>209.7</v>
      </c>
      <c r="O39" s="13" t="n">
        <v>0.03174574339084506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</hyperlinks>
  <pageMargins left="0.75" right="0.75" top="1" bottom="1" header="0.5" footer="0.5"/>
  <tableParts count="1">
    <tablePart xmlns:r="http://schemas.openxmlformats.org/officeDocument/2006/relationships" r:id="rId205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0" t="inlineStr">
        <is>
          <t>Döviz ve Altın Kur Takip Özeti</t>
        </is>
      </c>
    </row>
    <row r="3">
      <c r="A3" s="61" t="inlineStr">
        <is>
          <t>SON VERİ ÇEKİMİ</t>
        </is>
      </c>
      <c r="F3" s="61" t="inlineStr">
        <is>
          <t>AYLIK ORTALAMA MAKAS %</t>
        </is>
      </c>
      <c r="L3" s="61" t="inlineStr">
        <is>
          <t>5 BANKADA EN DÜŞÜK GÜNCEL MAKAS</t>
        </is>
      </c>
    </row>
    <row r="4">
      <c r="A4" s="62" t="inlineStr">
        <is>
          <t>Veri tarihi</t>
        </is>
      </c>
      <c r="B4" s="63" t="n"/>
      <c r="C4" s="64" t="n">
        <v>46280</v>
      </c>
      <c r="D4" s="63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2" t="inlineStr">
        <is>
          <t>Çekim saati</t>
        </is>
      </c>
      <c r="B5" s="63" t="n"/>
      <c r="C5" s="65" t="n">
        <v>0.4736805555555555</v>
      </c>
      <c r="D5" s="63" t="n"/>
      <c r="F5" s="63" t="inlineStr">
        <is>
          <t>Ağustos 2026</t>
        </is>
      </c>
      <c r="G5" s="66" t="inlineStr">
        <is>
          <t>Garanti BBVA</t>
        </is>
      </c>
      <c r="H5" s="67" t="n">
        <v>0.03553378696044311</v>
      </c>
      <c r="I5" s="68" t="n">
        <v>0.03553642841103422</v>
      </c>
      <c r="J5" s="69" t="n">
        <v>0.05383117747984287</v>
      </c>
      <c r="L5" s="70" t="inlineStr">
        <is>
          <t>DOLAR</t>
        </is>
      </c>
      <c r="M5" s="63" t="n">
        <v>5</v>
      </c>
      <c r="N5" s="71" t="n">
        <v>0.01893466500208073</v>
      </c>
      <c r="O5" s="72" t="inlineStr">
        <is>
          <t>Yapıkredi</t>
        </is>
      </c>
      <c r="P5" s="73" t="n">
        <v>48.06</v>
      </c>
      <c r="Q5" s="73" t="n">
        <v>48.97</v>
      </c>
    </row>
    <row r="6">
      <c r="A6" s="62" t="inlineStr">
        <is>
          <t>Sağlayıcı sayısı</t>
        </is>
      </c>
      <c r="B6" s="63" t="n"/>
      <c r="C6" s="74" t="n">
        <v>38</v>
      </c>
      <c r="D6" s="63" t="n"/>
      <c r="F6" s="63" t="inlineStr">
        <is>
          <t>Ağustos 2026</t>
        </is>
      </c>
      <c r="G6" s="75" t="inlineStr">
        <is>
          <t>Akbank</t>
        </is>
      </c>
      <c r="H6" s="67" t="n">
        <v>0.04311562150687483</v>
      </c>
      <c r="I6" s="68" t="n">
        <v>0.0432699268677014</v>
      </c>
      <c r="J6" s="69" t="n">
        <v>0.06066925394146307</v>
      </c>
      <c r="L6" s="76" t="inlineStr">
        <is>
          <t>EURO</t>
        </is>
      </c>
      <c r="M6" s="63" t="n">
        <v>5</v>
      </c>
      <c r="N6" s="71" t="n">
        <v>0.01820804038218857</v>
      </c>
      <c r="O6" s="72" t="inlineStr">
        <is>
          <t>Yapıkredi</t>
        </is>
      </c>
      <c r="P6" s="73" t="n">
        <v>55.47</v>
      </c>
      <c r="Q6" s="73" t="n">
        <v>56.48</v>
      </c>
    </row>
    <row r="7">
      <c r="A7" s="62" t="inlineStr">
        <is>
          <t>Ürün kaydı</t>
        </is>
      </c>
      <c r="B7" s="63" t="n"/>
      <c r="C7" s="74" t="n">
        <v>108</v>
      </c>
      <c r="D7" s="63" t="n"/>
      <c r="F7" s="63" t="inlineStr">
        <is>
          <t>Ağustos 2026</t>
        </is>
      </c>
      <c r="G7" s="72" t="inlineStr">
        <is>
          <t>Yapıkredi</t>
        </is>
      </c>
      <c r="H7" s="67" t="n">
        <v>0.03847709584999994</v>
      </c>
      <c r="I7" s="68" t="n">
        <v>0.03535742466332828</v>
      </c>
      <c r="J7" s="69" t="n">
        <v>0.0540849048600331</v>
      </c>
      <c r="L7" s="77" t="inlineStr">
        <is>
          <t>GRAM ALTIN</t>
        </is>
      </c>
      <c r="M7" s="63" t="n">
        <v>5</v>
      </c>
      <c r="N7" s="71" t="n">
        <v>0.02019250398844674</v>
      </c>
      <c r="O7" s="78" t="inlineStr">
        <is>
          <t>Ziraat Bankası</t>
        </is>
      </c>
      <c r="P7" s="73" t="n">
        <v>6612.85</v>
      </c>
      <c r="Q7" s="73" t="n">
        <v>6746.38</v>
      </c>
    </row>
    <row r="8">
      <c r="A8" s="62" t="inlineStr">
        <is>
          <t>Hatalı kayıt</t>
        </is>
      </c>
      <c r="B8" s="63" t="n"/>
      <c r="C8" s="74" t="n">
        <v>0</v>
      </c>
      <c r="D8" s="63" t="n"/>
      <c r="F8" s="63" t="inlineStr">
        <is>
          <t>Ağustos 2026</t>
        </is>
      </c>
      <c r="G8" s="78" t="inlineStr">
        <is>
          <t>Ziraat Bankası</t>
        </is>
      </c>
      <c r="H8" s="67" t="n">
        <v>0.04104187506584386</v>
      </c>
      <c r="I8" s="68" t="n">
        <v>0.0514487601107881</v>
      </c>
      <c r="J8" s="69" t="n">
        <v>0.08301204597474589</v>
      </c>
    </row>
    <row r="9">
      <c r="A9" s="62" t="inlineStr">
        <is>
          <t>Kontrol gereken</t>
        </is>
      </c>
      <c r="B9" s="63" t="n"/>
      <c r="C9" s="74" t="n">
        <v>0</v>
      </c>
      <c r="D9" s="63" t="n"/>
      <c r="F9" s="63" t="inlineStr">
        <is>
          <t>Ağustos 2026</t>
        </is>
      </c>
      <c r="G9" s="79" t="inlineStr">
        <is>
          <t>İş Bankası</t>
        </is>
      </c>
      <c r="H9" s="67" t="n">
        <v>0.04760750668842017</v>
      </c>
      <c r="I9" s="68" t="n">
        <v>0.04783493387226885</v>
      </c>
      <c r="J9" s="69" t="n">
        <v>0.1017248276143379</v>
      </c>
    </row>
    <row r="10">
      <c r="F10" s="63" t="inlineStr">
        <is>
          <t>Eylül 2026</t>
        </is>
      </c>
      <c r="G10" s="66" t="inlineStr">
        <is>
          <t>Garanti BBVA</t>
        </is>
      </c>
      <c r="H10" s="67" t="n">
        <v>0.03207928238935187</v>
      </c>
      <c r="I10" s="68" t="n">
        <v>0.03208079288988166</v>
      </c>
      <c r="J10" s="69" t="n">
        <v>0.04591736558900111</v>
      </c>
    </row>
    <row r="11">
      <c r="F11" s="63" t="inlineStr">
        <is>
          <t>Eylül 2026</t>
        </is>
      </c>
      <c r="G11" s="75" t="inlineStr">
        <is>
          <t>Akbank</t>
        </is>
      </c>
      <c r="H11" s="67" t="n">
        <v>0.03609920589444868</v>
      </c>
      <c r="I11" s="68" t="n">
        <v>0.03623809217070791</v>
      </c>
      <c r="J11" s="69" t="n">
        <v>0.04905575687690023</v>
      </c>
    </row>
    <row r="12">
      <c r="F12" s="63" t="inlineStr">
        <is>
          <t>Eylül 2026</t>
        </is>
      </c>
      <c r="G12" s="72" t="inlineStr">
        <is>
          <t>Yapıkredi</t>
        </is>
      </c>
      <c r="H12" s="67" t="n">
        <v>0.0291552759293598</v>
      </c>
      <c r="I12" s="68" t="n">
        <v>0.02726376576172006</v>
      </c>
      <c r="J12" s="69" t="n">
        <v>0.04228929342416173</v>
      </c>
    </row>
    <row r="13">
      <c r="F13" s="63" t="inlineStr">
        <is>
          <t>Eylül 2026</t>
        </is>
      </c>
      <c r="G13" s="78" t="inlineStr">
        <is>
          <t>Ziraat Bankası</t>
        </is>
      </c>
      <c r="H13" s="67" t="n">
        <v>0.03106978925169238</v>
      </c>
      <c r="I13" s="68" t="n">
        <v>0.03106981766509078</v>
      </c>
      <c r="J13" s="69" t="n">
        <v>0.05339079001743167</v>
      </c>
    </row>
    <row r="14">
      <c r="F14" s="63" t="inlineStr">
        <is>
          <t>Eylül 2026</t>
        </is>
      </c>
      <c r="G14" s="79" t="inlineStr">
        <is>
          <t>İş Bankası</t>
        </is>
      </c>
      <c r="H14" s="67" t="n">
        <v>0.03255775733056778</v>
      </c>
      <c r="I14" s="68" t="n">
        <v>0.03267578522290612</v>
      </c>
      <c r="J14" s="69" t="n">
        <v>0.05474935552944887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0.03207928238935187</v>
      </c>
      <c r="V3" s="55" t="n">
        <v>0.03609920589444868</v>
      </c>
      <c r="W3" s="55" t="n">
        <v>0.0291552759293598</v>
      </c>
      <c r="X3" s="55" t="n">
        <v>0.03106978925169238</v>
      </c>
      <c r="Y3" s="55" t="n">
        <v>0.03255775733056778</v>
      </c>
      <c r="Z3" s="55" t="n">
        <v>0.03208079288988166</v>
      </c>
      <c r="AA3" s="55" t="n">
        <v>0.03623809217070791</v>
      </c>
      <c r="AB3" s="55" t="n">
        <v>0.02726376576172006</v>
      </c>
      <c r="AC3" s="55" t="n">
        <v>0.03106981766509078</v>
      </c>
      <c r="AD3" s="55" t="n">
        <v>0.03267578522290612</v>
      </c>
      <c r="AE3" s="55" t="n">
        <v>0.04591736558900111</v>
      </c>
      <c r="AF3" s="55" t="n">
        <v>0.04905575687690023</v>
      </c>
      <c r="AG3" s="55" t="n">
        <v>0.04228929342416173</v>
      </c>
      <c r="AH3" s="55" t="n">
        <v>0.05339079001743167</v>
      </c>
      <c r="AI3" s="55" t="n">
        <v>0.05474935552944887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2026-09-15T08:22:49Z</dcterms:created>
  <dcterms:modified xsi:type="dcterms:W3CDTF">2026-09-15T08:22:50Z</dcterms:modified>
</cp:coreProperties>
</file>