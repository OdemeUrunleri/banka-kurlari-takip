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'GRAFIK_VERILERI'!$B$2:$B$50</f>
              <numCache>
                <formatCode>0.00%</formatCode>
                <ptCount val="4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'GRAFIK_VERILERI'!$C$2:$C$50</f>
              <numCache>
                <formatCode>0.00%</formatCode>
                <ptCount val="4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'GRAFIK_VERILERI'!$D$2:$D$50</f>
              <numCache>
                <formatCode>0.00%</formatCode>
                <ptCount val="4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'GRAFIK_VERILERI'!$E$2:$E$50</f>
              <numCache>
                <formatCode>0.00%</formatCode>
                <ptCount val="4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'GRAFIK_VERILERI'!$F$2:$F$50</f>
              <numCache>
                <formatCode>0.00%</formatCode>
                <ptCount val="4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'GRAFIK_VERILERI'!$G$2:$G$50</f>
              <numCache>
                <formatCode>0.00%</formatCode>
                <ptCount val="4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'GRAFIK_VERILERI'!$H$2:$H$50</f>
              <numCache>
                <formatCode>0.00%</formatCode>
                <ptCount val="4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'GRAFIK_VERILERI'!$I$2:$I$50</f>
              <numCache>
                <formatCode>0.00%</formatCode>
                <ptCount val="4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'GRAFIK_VERILERI'!$J$2:$J$50</f>
              <numCache>
                <formatCode>0.00%</formatCode>
                <ptCount val="4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'GRAFIK_VERILERI'!$K$2:$K$50</f>
              <numCache>
                <formatCode>0.00%</formatCode>
                <ptCount val="4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'GRAFIK_VERILERI'!$L$2:$L$50</f>
              <numCache>
                <formatCode>0.00%</formatCode>
                <ptCount val="4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'GRAFIK_VERILERI'!$M$2:$M$50</f>
              <numCache>
                <formatCode>0.00%</formatCode>
                <ptCount val="4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'GRAFIK_VERILERI'!$N$2:$N$50</f>
              <numCache>
                <formatCode>0.00%</formatCode>
                <ptCount val="4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'GRAFIK_VERILERI'!$O$2:$O$50</f>
              <numCache>
                <formatCode>0.00%</formatCode>
                <ptCount val="4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'GRAFIK_VERILERI'!$P$2:$P$50</f>
              <numCache>
                <formatCode>0.00%</formatCode>
                <ptCount val="4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0.03157406345646032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0.03551625986654951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0.03016469951902134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0.03107011519017328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0.03268729172579446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0.03157363898646439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0.03557806258153851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0.02898480364056443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0.0310705165642568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0.03280389162055024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0.04272296056771507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0.04825548849516869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0.04505378189047556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0.05339062064547036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0.05565736071590375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751076713314"/>
          <min val="0.033872680510721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'GRAFIK_VERILERI'!$B$2:$B$50</f>
              <numCache>
                <formatCode>0.00%</formatCode>
                <ptCount val="4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99801232436"/>
          <min val="0.0248437581766059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'GRAFIK_VERILERI'!$G$2:$G$50</f>
              <numCache>
                <formatCode>0.00%</formatCode>
                <ptCount val="4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9983160344141"/>
          <min val="0.024824102140167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'GRAFIK_VERILERI'!$L$2:$L$50</f>
              <numCache>
                <formatCode>0.00%</formatCode>
                <ptCount val="4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375686404652"/>
          <min val="0.0229920539277493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'GRAFIK_VERILERI'!$C$2:$C$50</f>
              <numCache>
                <formatCode>0.00%</formatCode>
                <ptCount val="4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4128115288466"/>
          <min val="0.021769863396014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'GRAFIK_VERILERI'!$H$2:$H$50</f>
              <numCache>
                <formatCode>0.00%</formatCode>
                <ptCount val="4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705628511193"/>
          <min val="0.0217148937321578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'GRAFIK_VERILERI'!$M$2:$M$50</f>
              <numCache>
                <formatCode>0.00%</formatCode>
                <ptCount val="4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015428099172"/>
          <min val="0.0253077825632609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'GRAFIK_VERILERI'!$D$2:$D$50</f>
              <numCache>
                <formatCode>0.00%</formatCode>
                <ptCount val="4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'GRAFIK_VERILERI'!$I$2:$I$50</f>
              <numCache>
                <formatCode>0.00%</formatCode>
                <ptCount val="4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'GRAFIK_VERILERI'!$N$2:$N$50</f>
              <numCache>
                <formatCode>0.00%</formatCode>
                <ptCount val="4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'GRAFIK_VERILERI'!$E$2:$E$50</f>
              <numCache>
                <formatCode>0.00%</formatCode>
                <ptCount val="4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'GRAFIK_VERILERI'!$J$2:$J$50</f>
              <numCache>
                <formatCode>0.00%</formatCode>
                <ptCount val="4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'GRAFIK_VERILERI'!$O$2:$O$50</f>
              <numCache>
                <formatCode>0.00%</formatCode>
                <ptCount val="4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'GRAFIK_VERILERI'!$F$2:$F$50</f>
              <numCache>
                <formatCode>0.00%</formatCode>
                <ptCount val="4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'GRAFIK_VERILERI'!$K$2:$K$50</f>
              <numCache>
                <formatCode>0.00%</formatCode>
                <ptCount val="4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'GRAFIK_VERILERI'!$A$2:$A$50</f>
              <strCache>
                <ptCount val="4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</strCache>
            </strRef>
          </cat>
          <val>
            <numRef>
              <f>'GRAFIK_VERILERI'!$P$2:$P$50</f>
              <numCache>
                <formatCode>0.00%</formatCode>
                <ptCount val="4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284" headerRowCount="1">
  <autoFilter ref="A1:N5284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table" Target="/xl/tables/table2.xml" Id="rId528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46310</v>
      </c>
      <c r="B2" s="6" t="n">
        <v>0.4383449074074074</v>
      </c>
      <c r="C2" s="7" t="inlineStr">
        <is>
          <t>Akbank</t>
        </is>
      </c>
      <c r="D2" s="8" t="n">
        <v>48.621</v>
      </c>
      <c r="E2" s="8" t="n">
        <v>49.971</v>
      </c>
      <c r="F2" s="8" t="n">
        <v>1.35</v>
      </c>
      <c r="G2" s="9" t="n">
        <v>0.02776578021842414</v>
      </c>
      <c r="H2" s="10" t="n">
        <v>54.5241</v>
      </c>
      <c r="I2" s="10" t="n">
        <v>56.038</v>
      </c>
      <c r="J2" s="10" t="n">
        <v>1.5139</v>
      </c>
      <c r="K2" s="11" t="n">
        <v>0.0277657036062952</v>
      </c>
      <c r="L2" s="12" t="n">
        <v>6411.87</v>
      </c>
      <c r="M2" s="12" t="n">
        <v>6638.07</v>
      </c>
      <c r="N2" s="12" t="n">
        <v>226.2</v>
      </c>
      <c r="O2" s="13" t="n">
        <v>0.0352783197413547</v>
      </c>
    </row>
    <row r="3">
      <c r="A3" s="5" t="n">
        <v>46310</v>
      </c>
      <c r="B3" s="6" t="n">
        <v>0.4383449074074074</v>
      </c>
      <c r="C3" s="14" t="inlineStr">
        <is>
          <t>Albaraka Türk</t>
        </is>
      </c>
      <c r="D3" s="8" t="n">
        <v>48.947</v>
      </c>
      <c r="E3" s="8" t="n">
        <v>49.668</v>
      </c>
      <c r="F3" s="8" t="n">
        <v>0.721</v>
      </c>
      <c r="G3" s="9" t="n">
        <v>0.01473021839949333</v>
      </c>
      <c r="H3" s="10" t="n">
        <v>54.879</v>
      </c>
      <c r="I3" s="10" t="n">
        <v>55.698</v>
      </c>
      <c r="J3" s="10" t="n">
        <v>0.819</v>
      </c>
      <c r="K3" s="11" t="n">
        <v>0.01492374132181709</v>
      </c>
      <c r="L3" s="12" t="n">
        <v>6472.8</v>
      </c>
      <c r="M3" s="12" t="n">
        <v>6595.11</v>
      </c>
      <c r="N3" s="12" t="n">
        <v>122.31</v>
      </c>
      <c r="O3" s="13" t="n">
        <v>0.01889599555061179</v>
      </c>
    </row>
    <row r="4">
      <c r="A4" s="5" t="n">
        <v>46310</v>
      </c>
      <c r="B4" s="6" t="n">
        <v>0.4383449074074074</v>
      </c>
      <c r="C4" s="15" t="inlineStr">
        <is>
          <t>Alternatif Bank</t>
        </is>
      </c>
      <c r="D4" s="8" t="n">
        <v>49.203</v>
      </c>
      <c r="E4" s="8" t="n">
        <v>49.492</v>
      </c>
      <c r="F4" s="8" t="n">
        <v>0.289</v>
      </c>
      <c r="G4" s="9" t="n">
        <v>0.005873625591935451</v>
      </c>
      <c r="H4" s="10" t="n">
        <v>54.998</v>
      </c>
      <c r="I4" s="10" t="n">
        <v>55.494</v>
      </c>
      <c r="J4" s="10" t="n">
        <v>0.496</v>
      </c>
      <c r="K4" s="11" t="n">
        <v>0.009018509763991418</v>
      </c>
      <c r="L4" s="12" t="n">
        <v>6542.83</v>
      </c>
      <c r="M4" s="12" t="n">
        <v>6607.34</v>
      </c>
      <c r="N4" s="12" t="n">
        <v>64.51000000000001</v>
      </c>
      <c r="O4" s="13" t="n">
        <v>0.009859647889368973</v>
      </c>
    </row>
    <row r="5">
      <c r="A5" s="5" t="n">
        <v>46310</v>
      </c>
      <c r="B5" s="6" t="n">
        <v>0.4383449074074074</v>
      </c>
      <c r="C5" s="16" t="inlineStr">
        <is>
          <t>Altınkaynak</t>
        </is>
      </c>
      <c r="D5" s="8" t="n">
        <v>49.35</v>
      </c>
      <c r="E5" s="8" t="n">
        <v>49.52</v>
      </c>
      <c r="F5" s="8" t="n">
        <v>0.17</v>
      </c>
      <c r="G5" s="9" t="n">
        <v>0.003444782168186423</v>
      </c>
      <c r="H5" s="10" t="n">
        <v>55.245</v>
      </c>
      <c r="I5" s="10" t="n">
        <v>55.558</v>
      </c>
      <c r="J5" s="10" t="n">
        <v>0.313</v>
      </c>
      <c r="K5" s="11" t="n">
        <v>0.005665671101457146</v>
      </c>
      <c r="L5" s="12" t="n">
        <v>6522</v>
      </c>
      <c r="M5" s="12" t="n">
        <v>6655</v>
      </c>
      <c r="N5" s="12" t="n">
        <v>133</v>
      </c>
      <c r="O5" s="13" t="n">
        <v>0.02039251763262803</v>
      </c>
    </row>
    <row r="6">
      <c r="A6" s="5" t="n">
        <v>46310</v>
      </c>
      <c r="B6" s="6" t="n">
        <v>0.4383449074074074</v>
      </c>
      <c r="C6" s="17" t="inlineStr">
        <is>
          <t>Anadolubank</t>
        </is>
      </c>
      <c r="D6" s="8" t="n">
        <v>48.5721</v>
      </c>
      <c r="E6" s="8" t="n">
        <v>49.849</v>
      </c>
      <c r="F6" s="8" t="n">
        <v>1.2769</v>
      </c>
      <c r="G6" s="9" t="n">
        <v>0.02628875424369134</v>
      </c>
      <c r="H6" s="10" t="n">
        <v>54.5279</v>
      </c>
      <c r="I6" s="10" t="n">
        <v>55.8983</v>
      </c>
      <c r="J6" s="10" t="n">
        <v>1.3704</v>
      </c>
      <c r="K6" s="11" t="n">
        <v>0.0251320883437653</v>
      </c>
      <c r="L6" s="12" t="n">
        <v>6463.09</v>
      </c>
      <c r="M6" s="12" t="n">
        <v>6618.65</v>
      </c>
      <c r="N6" s="12" t="n">
        <v>155.56</v>
      </c>
      <c r="O6" s="13" t="n">
        <v>0.02406898248361078</v>
      </c>
    </row>
    <row r="7">
      <c r="A7" s="5" t="n">
        <v>46310</v>
      </c>
      <c r="B7" s="6" t="n">
        <v>0.4383449074074074</v>
      </c>
      <c r="C7" s="18" t="inlineStr">
        <is>
          <t>CEPTETEB</t>
        </is>
      </c>
      <c r="D7" s="8" t="n">
        <v>48.399</v>
      </c>
      <c r="E7" s="8" t="n">
        <v>50.365</v>
      </c>
      <c r="F7" s="8" t="n">
        <v>1.966</v>
      </c>
      <c r="G7" s="9" t="n">
        <v>0.04062067398086738</v>
      </c>
      <c r="H7" s="10" t="n">
        <v>54.26</v>
      </c>
      <c r="I7" s="10" t="n">
        <v>56.485</v>
      </c>
      <c r="J7" s="10" t="n">
        <v>2.225</v>
      </c>
      <c r="K7" s="11" t="n">
        <v>0.04100626612605971</v>
      </c>
      <c r="L7" s="12" t="n">
        <v>6458.53</v>
      </c>
      <c r="M7" s="12" t="n">
        <v>6656.37</v>
      </c>
      <c r="N7" s="12" t="n">
        <v>197.84</v>
      </c>
      <c r="O7" s="13" t="n">
        <v>0.0306323575178872</v>
      </c>
    </row>
    <row r="8">
      <c r="A8" s="5" t="n">
        <v>46310</v>
      </c>
      <c r="B8" s="6" t="n">
        <v>0.4383449074074074</v>
      </c>
      <c r="C8" s="19" t="inlineStr">
        <is>
          <t>Denizbank</t>
        </is>
      </c>
      <c r="D8" s="8" t="n">
        <v>48.6742</v>
      </c>
      <c r="E8" s="8" t="n">
        <v>50.0743</v>
      </c>
      <c r="F8" s="8" t="n">
        <v>1.4001</v>
      </c>
      <c r="G8" s="9" t="n">
        <v>0.02876472546030546</v>
      </c>
      <c r="H8" s="10" t="n">
        <v>54.5787</v>
      </c>
      <c r="I8" s="10" t="n">
        <v>56.1487</v>
      </c>
      <c r="J8" s="10" t="n">
        <v>1.57</v>
      </c>
      <c r="K8" s="11" t="n">
        <v>0.02876580057788111</v>
      </c>
      <c r="L8" s="12" t="n">
        <v>6483.24</v>
      </c>
      <c r="M8" s="12" t="n">
        <v>6670.58</v>
      </c>
      <c r="N8" s="12" t="n">
        <v>187.34</v>
      </c>
      <c r="O8" s="13" t="n">
        <v>0.02889604580425837</v>
      </c>
    </row>
    <row r="9">
      <c r="A9" s="5" t="n">
        <v>46310</v>
      </c>
      <c r="B9" s="6" t="n">
        <v>0.4383449074074074</v>
      </c>
      <c r="C9" s="20" t="inlineStr">
        <is>
          <t>DestekBank</t>
        </is>
      </c>
      <c r="D9" s="8" t="n">
        <v>49.3055</v>
      </c>
      <c r="E9" s="8" t="n">
        <v>49.4389</v>
      </c>
      <c r="F9" s="8" t="n">
        <v>0.1334</v>
      </c>
      <c r="G9" s="9" t="n">
        <v>0.002705580513330156</v>
      </c>
      <c r="H9" s="10" t="n">
        <v>55.2615</v>
      </c>
      <c r="I9" s="10" t="n">
        <v>55.4409</v>
      </c>
      <c r="J9" s="10" t="n">
        <v>0.1794</v>
      </c>
      <c r="K9" s="11" t="n">
        <v>0.003246383105778888</v>
      </c>
      <c r="L9" s="12" t="n">
        <v>6475.05</v>
      </c>
      <c r="M9" s="12" t="n">
        <v>6606.92</v>
      </c>
      <c r="N9" s="12" t="n">
        <v>131.87</v>
      </c>
      <c r="O9" s="13" t="n">
        <v>0.02036586590064942</v>
      </c>
    </row>
    <row r="10">
      <c r="A10" s="5" t="n">
        <v>46310</v>
      </c>
      <c r="B10" s="6" t="n">
        <v>0.4383449074074074</v>
      </c>
      <c r="C10" s="21" t="inlineStr">
        <is>
          <t>Dünya Katılım</t>
        </is>
      </c>
      <c r="D10" s="8" t="n">
        <v>49.3275</v>
      </c>
      <c r="E10" s="8" t="n">
        <v>49.4195</v>
      </c>
      <c r="F10" s="8" t="n">
        <v>0.092</v>
      </c>
      <c r="G10" s="9" t="n">
        <v>0.001865085398611322</v>
      </c>
      <c r="H10" s="10" t="n">
        <v>55.2412</v>
      </c>
      <c r="I10" s="10" t="n">
        <v>55.4384</v>
      </c>
      <c r="J10" s="10" t="n">
        <v>0.1972</v>
      </c>
      <c r="K10" s="11" t="n">
        <v>0.003569799352657075</v>
      </c>
      <c r="L10" s="12" t="n">
        <v>6524.6</v>
      </c>
      <c r="M10" s="12" t="n">
        <v>6559.2</v>
      </c>
      <c r="N10" s="12" t="n">
        <v>34.6</v>
      </c>
      <c r="O10" s="13" t="n">
        <v>0.005303007080893848</v>
      </c>
    </row>
    <row r="11">
      <c r="A11" s="5" t="n">
        <v>46310</v>
      </c>
      <c r="B11" s="6" t="n">
        <v>0.4383449074074074</v>
      </c>
      <c r="C11" s="22" t="inlineStr">
        <is>
          <t>Emlak Katılım</t>
        </is>
      </c>
      <c r="D11" s="8" t="n">
        <v>49.0372</v>
      </c>
      <c r="E11" s="8" t="n">
        <v>50.3028</v>
      </c>
      <c r="F11" s="8" t="n">
        <v>1.2656</v>
      </c>
      <c r="G11" s="9" t="n">
        <v>0.02580897767409232</v>
      </c>
      <c r="H11" s="10" t="n">
        <v>54.8652</v>
      </c>
      <c r="I11" s="10" t="n">
        <v>56.135</v>
      </c>
      <c r="J11" s="10" t="n">
        <v>1.2698</v>
      </c>
      <c r="K11" s="11" t="n">
        <v>0.02314399655883876</v>
      </c>
      <c r="L11" s="12" t="n">
        <v>6499.1</v>
      </c>
      <c r="M11" s="12" t="n">
        <v>6573.9</v>
      </c>
      <c r="N11" s="12" t="n">
        <v>74.8</v>
      </c>
      <c r="O11" s="13" t="n">
        <v>0.01150928590112477</v>
      </c>
    </row>
    <row r="12">
      <c r="A12" s="5" t="n">
        <v>46310</v>
      </c>
      <c r="B12" s="6" t="n">
        <v>0.4383449074074074</v>
      </c>
      <c r="C12" s="23" t="inlineStr">
        <is>
          <t>Enpara</t>
        </is>
      </c>
      <c r="D12" s="8" t="n">
        <v>48.8675</v>
      </c>
      <c r="E12" s="8" t="n">
        <v>49.6675</v>
      </c>
      <c r="F12" s="8" t="n">
        <v>0.8</v>
      </c>
      <c r="G12" s="9" t="n">
        <v>0.01637079858801862</v>
      </c>
      <c r="H12" s="10" t="n">
        <v>54.7306</v>
      </c>
      <c r="I12" s="10" t="n">
        <v>55.7578</v>
      </c>
      <c r="J12" s="10" t="n">
        <v>1.0272</v>
      </c>
      <c r="K12" s="11" t="n">
        <v>0.01876829415354482</v>
      </c>
      <c r="L12" s="12" t="n">
        <v>6469.98</v>
      </c>
      <c r="M12" s="12" t="n">
        <v>6597.66</v>
      </c>
      <c r="N12" s="12" t="n">
        <v>127.68</v>
      </c>
      <c r="O12" s="13" t="n">
        <v>0.01973421865291701</v>
      </c>
    </row>
    <row r="13">
      <c r="A13" s="5" t="n">
        <v>46310</v>
      </c>
      <c r="B13" s="6" t="n">
        <v>0.4383449074074074</v>
      </c>
      <c r="C13" s="24" t="inlineStr">
        <is>
          <t>Fibabanka</t>
        </is>
      </c>
      <c r="D13" s="8" t="n">
        <v>49.1173</v>
      </c>
      <c r="E13" s="8" t="n">
        <v>49.7247</v>
      </c>
      <c r="F13" s="8" t="n">
        <v>0.6074000000000001</v>
      </c>
      <c r="G13" s="9" t="n">
        <v>0.01236631492366233</v>
      </c>
      <c r="H13" s="10" t="n">
        <v>55.0842</v>
      </c>
      <c r="I13" s="10" t="n">
        <v>55.7468</v>
      </c>
      <c r="J13" s="10" t="n">
        <v>0.6626</v>
      </c>
      <c r="K13" s="11" t="n">
        <v>0.01202885763975877</v>
      </c>
      <c r="L13" s="12" t="n">
        <v>6548.38</v>
      </c>
      <c r="M13" s="12" t="n">
        <v>6602.74</v>
      </c>
      <c r="N13" s="12" t="n">
        <v>54.36</v>
      </c>
      <c r="O13" s="13" t="n">
        <v>0.008301289784649028</v>
      </c>
    </row>
    <row r="14">
      <c r="A14" s="5" t="n">
        <v>46310</v>
      </c>
      <c r="B14" s="6" t="n">
        <v>0.4383449074074074</v>
      </c>
      <c r="C14" s="25" t="inlineStr">
        <is>
          <t>Garanti BBVA</t>
        </is>
      </c>
      <c r="D14" s="8" t="n">
        <v>48.573</v>
      </c>
      <c r="E14" s="8" t="n">
        <v>49.923</v>
      </c>
      <c r="F14" s="8" t="n">
        <v>1.35</v>
      </c>
      <c r="G14" s="9" t="n">
        <v>0.02779321845469705</v>
      </c>
      <c r="H14" s="10" t="n">
        <v>54.468</v>
      </c>
      <c r="I14" s="10" t="n">
        <v>55.981</v>
      </c>
      <c r="J14" s="10" t="n">
        <v>1.513</v>
      </c>
      <c r="K14" s="11" t="n">
        <v>0.02777777777777778</v>
      </c>
      <c r="L14" s="12" t="n">
        <v>6481.12</v>
      </c>
      <c r="M14" s="12" t="n">
        <v>6681.67</v>
      </c>
      <c r="N14" s="12" t="n">
        <v>200.55</v>
      </c>
      <c r="O14" s="13" t="n">
        <v>0.03094372577579184</v>
      </c>
    </row>
    <row r="15">
      <c r="A15" s="5" t="n">
        <v>46310</v>
      </c>
      <c r="B15" s="6" t="n">
        <v>0.4383449074074074</v>
      </c>
      <c r="C15" s="26" t="inlineStr">
        <is>
          <t>Getirfinans</t>
        </is>
      </c>
      <c r="D15" s="8" t="n">
        <v>49.1178</v>
      </c>
      <c r="E15" s="8" t="n">
        <v>49.7248</v>
      </c>
      <c r="F15" s="8" t="n">
        <v>0.607</v>
      </c>
      <c r="G15" s="9" t="n">
        <v>0.01235804535219411</v>
      </c>
      <c r="H15" s="10" t="n">
        <v>55.0714</v>
      </c>
      <c r="I15" s="10" t="n">
        <v>55.7335</v>
      </c>
      <c r="J15" s="10" t="n">
        <v>0.6621</v>
      </c>
      <c r="K15" s="11" t="n">
        <v>0.01202257433077786</v>
      </c>
      <c r="L15" s="12" t="n">
        <v>6547.95</v>
      </c>
      <c r="M15" s="12" t="n">
        <v>6602.16</v>
      </c>
      <c r="N15" s="12" t="n">
        <v>54.21</v>
      </c>
      <c r="O15" s="13" t="n">
        <v>0.008278926992417475</v>
      </c>
    </row>
    <row r="16">
      <c r="A16" s="5" t="n">
        <v>46310</v>
      </c>
      <c r="B16" s="6" t="n">
        <v>0.4383449074074074</v>
      </c>
      <c r="C16" s="27" t="inlineStr">
        <is>
          <t>Halkbank</t>
        </is>
      </c>
      <c r="D16" s="8" t="n">
        <v>48.9872</v>
      </c>
      <c r="E16" s="8" t="n">
        <v>49.9772</v>
      </c>
      <c r="F16" s="8" t="n">
        <v>0.99</v>
      </c>
      <c r="G16" s="9" t="n">
        <v>0.02020936081262044</v>
      </c>
      <c r="H16" s="10" t="n">
        <v>54.9318</v>
      </c>
      <c r="I16" s="10" t="n">
        <v>56.0419</v>
      </c>
      <c r="J16" s="10" t="n">
        <v>1.1101</v>
      </c>
      <c r="K16" s="11" t="n">
        <v>0.02020869514561693</v>
      </c>
      <c r="L16" s="12" t="n">
        <v>6483.58</v>
      </c>
      <c r="M16" s="12" t="n">
        <v>6681.52</v>
      </c>
      <c r="N16" s="12" t="n">
        <v>197.94</v>
      </c>
      <c r="O16" s="13" t="n">
        <v>0.03052942972863757</v>
      </c>
    </row>
    <row r="17">
      <c r="A17" s="5" t="n">
        <v>46310</v>
      </c>
      <c r="B17" s="6" t="n">
        <v>0.4383449074074074</v>
      </c>
      <c r="C17" s="28" t="inlineStr">
        <is>
          <t>Harem</t>
        </is>
      </c>
      <c r="D17" s="8" t="n">
        <v>49.369</v>
      </c>
      <c r="E17" s="8" t="n">
        <v>49.419</v>
      </c>
      <c r="F17" s="8" t="n">
        <v>0.05</v>
      </c>
      <c r="G17" s="9" t="n">
        <v>0.001012781300006077</v>
      </c>
      <c r="H17" s="10" t="n">
        <v>55.262</v>
      </c>
      <c r="I17" s="10" t="n">
        <v>55.399</v>
      </c>
      <c r="J17" s="10" t="n">
        <v>0.137</v>
      </c>
      <c r="K17" s="11" t="n">
        <v>0.002479099562086063</v>
      </c>
      <c r="L17" s="12" t="n">
        <v>6530.02</v>
      </c>
      <c r="M17" s="12" t="n">
        <v>6604.13</v>
      </c>
      <c r="N17" s="12" t="n">
        <v>74.11</v>
      </c>
      <c r="O17" s="13" t="n">
        <v>0.01134912297358967</v>
      </c>
    </row>
    <row r="18">
      <c r="A18" s="5" t="n">
        <v>46310</v>
      </c>
      <c r="B18" s="6" t="n">
        <v>0.4383449074074074</v>
      </c>
      <c r="C18" s="29" t="inlineStr">
        <is>
          <t>Hayat Finans</t>
        </is>
      </c>
      <c r="D18" s="8" t="n">
        <v>49.3367</v>
      </c>
      <c r="E18" s="8" t="n">
        <v>49.4862</v>
      </c>
      <c r="F18" s="8" t="n">
        <v>0.1495</v>
      </c>
      <c r="G18" s="9" t="n">
        <v>0.003030198614824259</v>
      </c>
      <c r="H18" s="10" t="n">
        <v>55.303</v>
      </c>
      <c r="I18" s="10" t="n">
        <v>55.4726</v>
      </c>
      <c r="J18" s="10" t="n">
        <v>0.1696</v>
      </c>
      <c r="K18" s="11" t="n">
        <v>0.003066741406433647</v>
      </c>
      <c r="L18" s="12" t="n">
        <v>6540.28</v>
      </c>
      <c r="M18" s="12" t="n">
        <v>6586.51</v>
      </c>
      <c r="N18" s="12" t="n">
        <v>46.23</v>
      </c>
      <c r="O18" s="13" t="n">
        <v>0.007068504712336475</v>
      </c>
    </row>
    <row r="19">
      <c r="A19" s="5" t="n">
        <v>46310</v>
      </c>
      <c r="B19" s="6" t="n">
        <v>0.4383449074074074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6462.71</v>
      </c>
      <c r="M19" s="12" t="n">
        <v>6653.32</v>
      </c>
      <c r="N19" s="12" t="n">
        <v>190.61</v>
      </c>
      <c r="O19" s="13" t="n">
        <v>0.0294938191563601</v>
      </c>
    </row>
    <row r="20">
      <c r="A20" s="5" t="n">
        <v>46310</v>
      </c>
      <c r="B20" s="6" t="n">
        <v>0.4383449074074074</v>
      </c>
      <c r="C20" s="31" t="inlineStr">
        <is>
          <t>HSBC</t>
        </is>
      </c>
      <c r="D20" s="8" t="n">
        <v>48.9252</v>
      </c>
      <c r="E20" s="8" t="n">
        <v>49.8096</v>
      </c>
      <c r="F20" s="8" t="n">
        <v>0.8844</v>
      </c>
      <c r="G20" s="9" t="n">
        <v>0.01807657403546638</v>
      </c>
      <c r="H20" s="10" t="n">
        <v>54.8338</v>
      </c>
      <c r="I20" s="10" t="n">
        <v>55.8905</v>
      </c>
      <c r="J20" s="10" t="n">
        <v>1.0567</v>
      </c>
      <c r="K20" s="11" t="n">
        <v>0.01927096061188537</v>
      </c>
      <c r="L20" s="12" t="n">
        <v>6480.82</v>
      </c>
      <c r="M20" s="12" t="n">
        <v>6925.75</v>
      </c>
      <c r="N20" s="12" t="n">
        <v>444.93</v>
      </c>
      <c r="O20" s="13" t="n">
        <v>0.06865334942183242</v>
      </c>
    </row>
    <row r="21">
      <c r="A21" s="5" t="n">
        <v>46310</v>
      </c>
      <c r="B21" s="6" t="n">
        <v>0.4383449074074074</v>
      </c>
      <c r="C21" s="32" t="inlineStr">
        <is>
          <t>ING Bank</t>
        </is>
      </c>
      <c r="D21" s="8" t="n">
        <v>48.8716</v>
      </c>
      <c r="E21" s="8" t="n">
        <v>49.8752</v>
      </c>
      <c r="F21" s="8" t="n">
        <v>1.0036</v>
      </c>
      <c r="G21" s="9" t="n">
        <v>0.02053544389788753</v>
      </c>
      <c r="H21" s="10" t="n">
        <v>54.858</v>
      </c>
      <c r="I21" s="10" t="n">
        <v>55.8646</v>
      </c>
      <c r="J21" s="10" t="n">
        <v>1.0066</v>
      </c>
      <c r="K21" s="11" t="n">
        <v>0.01834919246053447</v>
      </c>
      <c r="L21" s="12" t="n">
        <v>6423.36</v>
      </c>
      <c r="M21" s="12" t="n">
        <v>6724.69</v>
      </c>
      <c r="N21" s="12" t="n">
        <v>301.33</v>
      </c>
      <c r="O21" s="13" t="n">
        <v>0.04691158521396901</v>
      </c>
    </row>
    <row r="22">
      <c r="A22" s="5" t="n">
        <v>46310</v>
      </c>
      <c r="B22" s="6" t="n">
        <v>0.4383449074074074</v>
      </c>
      <c r="C22" s="33" t="inlineStr">
        <is>
          <t>İş Bankası</t>
        </is>
      </c>
      <c r="D22" s="8" t="n">
        <v>48.7854</v>
      </c>
      <c r="E22" s="8" t="n">
        <v>49.9673</v>
      </c>
      <c r="F22" s="8" t="n">
        <v>1.1819</v>
      </c>
      <c r="G22" s="9" t="n">
        <v>0.02422651039040369</v>
      </c>
      <c r="H22" s="10" t="n">
        <v>54.6885</v>
      </c>
      <c r="I22" s="10" t="n">
        <v>56.0234</v>
      </c>
      <c r="J22" s="10" t="n">
        <v>1.3349</v>
      </c>
      <c r="K22" s="11" t="n">
        <v>0.0244091536611902</v>
      </c>
      <c r="L22" s="12" t="n">
        <v>6472.12</v>
      </c>
      <c r="M22" s="12" t="n">
        <v>6649.92</v>
      </c>
      <c r="N22" s="12" t="n">
        <v>177.8</v>
      </c>
      <c r="O22" s="13" t="n">
        <v>0.02747167852264791</v>
      </c>
    </row>
    <row r="23">
      <c r="A23" s="5" t="n">
        <v>46310</v>
      </c>
      <c r="B23" s="6" t="n">
        <v>0.4383449074074074</v>
      </c>
      <c r="C23" s="34" t="inlineStr">
        <is>
          <t>Kapalıçarşı</t>
        </is>
      </c>
      <c r="D23" s="8" t="n">
        <v>49.4</v>
      </c>
      <c r="E23" s="8" t="n">
        <v>49.42</v>
      </c>
      <c r="F23" s="8" t="n">
        <v>0.02</v>
      </c>
      <c r="G23" s="9" t="n">
        <v>0.0004048582995951417</v>
      </c>
      <c r="H23" s="10" t="n">
        <v>54.85</v>
      </c>
      <c r="I23" s="10" t="n">
        <v>54.9</v>
      </c>
      <c r="J23" s="10" t="n">
        <v>0.05</v>
      </c>
      <c r="K23" s="11" t="n">
        <v>0.0009115770282588879</v>
      </c>
      <c r="L23" s="12" t="n">
        <v>6503.92</v>
      </c>
      <c r="M23" s="12" t="n">
        <v>6516.49</v>
      </c>
      <c r="N23" s="12" t="n">
        <v>12.57</v>
      </c>
      <c r="O23" s="13" t="n">
        <v>0.001932680598777353</v>
      </c>
    </row>
    <row r="24">
      <c r="A24" s="5" t="n">
        <v>46310</v>
      </c>
      <c r="B24" s="6" t="n">
        <v>0.4383449074074074</v>
      </c>
      <c r="C24" s="35" t="inlineStr">
        <is>
          <t>Kuveyt Türk</t>
        </is>
      </c>
      <c r="D24" s="8" t="n">
        <v>48.8049</v>
      </c>
      <c r="E24" s="8" t="n">
        <v>49.7936</v>
      </c>
      <c r="F24" s="8" t="n">
        <v>0.9887</v>
      </c>
      <c r="G24" s="9" t="n">
        <v>0.02025821177791574</v>
      </c>
      <c r="H24" s="10" t="n">
        <v>54.6463</v>
      </c>
      <c r="I24" s="10" t="n">
        <v>55.7555</v>
      </c>
      <c r="J24" s="10" t="n">
        <v>1.1092</v>
      </c>
      <c r="K24" s="11" t="n">
        <v>0.02029780607287227</v>
      </c>
      <c r="L24" s="12" t="n">
        <v>6484.03</v>
      </c>
      <c r="M24" s="12" t="n">
        <v>6654.69</v>
      </c>
      <c r="N24" s="12" t="n">
        <v>170.66</v>
      </c>
      <c r="O24" s="13" t="n">
        <v>0.02632005095596411</v>
      </c>
    </row>
    <row r="25">
      <c r="A25" s="5" t="n">
        <v>46310</v>
      </c>
      <c r="B25" s="6" t="n">
        <v>0.4383449074074074</v>
      </c>
      <c r="C25" s="36" t="inlineStr">
        <is>
          <t>Merkez Bankası</t>
        </is>
      </c>
      <c r="D25" s="8" t="n">
        <v>49.3041</v>
      </c>
      <c r="E25" s="8" t="n">
        <v>49.3929</v>
      </c>
      <c r="F25" s="8" t="n">
        <v>0.0888</v>
      </c>
      <c r="G25" s="9" t="n">
        <v>0.001801067254041753</v>
      </c>
      <c r="H25" s="10" t="n">
        <v>55.2033</v>
      </c>
      <c r="I25" s="10" t="n">
        <v>55.3027</v>
      </c>
      <c r="J25" s="10" t="n">
        <v>0.0994</v>
      </c>
      <c r="K25" s="11" t="n">
        <v>0.00180061699210011</v>
      </c>
      <c r="L25" s="12" t="n"/>
      <c r="M25" s="12" t="n"/>
      <c r="N25" s="12" t="n"/>
      <c r="O25" s="13" t="n"/>
    </row>
    <row r="26">
      <c r="A26" s="5" t="n">
        <v>46310</v>
      </c>
      <c r="B26" s="6" t="n">
        <v>0.4383449074074074</v>
      </c>
      <c r="C26" s="37" t="inlineStr">
        <is>
          <t>Misyon Bank</t>
        </is>
      </c>
      <c r="D26" s="8" t="n">
        <v>49.3257</v>
      </c>
      <c r="E26" s="8" t="n">
        <v>49.4159</v>
      </c>
      <c r="F26" s="8" t="n">
        <v>0.0902</v>
      </c>
      <c r="G26" s="9" t="n">
        <v>0.001828661326651218</v>
      </c>
      <c r="H26" s="10" t="n">
        <v>55.2702</v>
      </c>
      <c r="I26" s="10" t="n">
        <v>55.4271</v>
      </c>
      <c r="J26" s="10" t="n">
        <v>0.1569</v>
      </c>
      <c r="K26" s="11" t="n">
        <v>0.002838781115320733</v>
      </c>
      <c r="L26" s="12" t="n">
        <v>6523.76</v>
      </c>
      <c r="M26" s="12" t="n">
        <v>6559.14</v>
      </c>
      <c r="N26" s="12" t="n">
        <v>35.38</v>
      </c>
      <c r="O26" s="13" t="n">
        <v>0.005423252848050817</v>
      </c>
    </row>
    <row r="27">
      <c r="A27" s="5" t="n">
        <v>46310</v>
      </c>
      <c r="B27" s="6" t="n">
        <v>0.4383449074074074</v>
      </c>
      <c r="C27" s="38" t="inlineStr">
        <is>
          <t>Odacı</t>
        </is>
      </c>
      <c r="D27" s="8" t="n">
        <v>49.338</v>
      </c>
      <c r="E27" s="8" t="n">
        <v>49.488</v>
      </c>
      <c r="F27" s="8" t="n">
        <v>0.15</v>
      </c>
      <c r="G27" s="9" t="n">
        <v>0.003040252949045361</v>
      </c>
      <c r="H27" s="10" t="n">
        <v>55.226</v>
      </c>
      <c r="I27" s="10" t="n">
        <v>55.439</v>
      </c>
      <c r="J27" s="10" t="n">
        <v>0.213</v>
      </c>
      <c r="K27" s="11" t="n">
        <v>0.003856879006265165</v>
      </c>
      <c r="L27" s="12" t="n">
        <v>6548</v>
      </c>
      <c r="M27" s="12" t="n">
        <v>6591</v>
      </c>
      <c r="N27" s="12" t="n">
        <v>43</v>
      </c>
      <c r="O27" s="13" t="n">
        <v>0.006566890653634697</v>
      </c>
    </row>
    <row r="28">
      <c r="A28" s="5" t="n">
        <v>46310</v>
      </c>
      <c r="B28" s="6" t="n">
        <v>0.4383449074074074</v>
      </c>
      <c r="C28" s="39" t="inlineStr">
        <is>
          <t>Odeabank</t>
        </is>
      </c>
      <c r="D28" s="8" t="n">
        <v>48.8755</v>
      </c>
      <c r="E28" s="8" t="n">
        <v>49.8755</v>
      </c>
      <c r="F28" s="8" t="n">
        <v>1</v>
      </c>
      <c r="G28" s="9" t="n">
        <v>0.02046014874528138</v>
      </c>
      <c r="H28" s="10" t="n">
        <v>54.806</v>
      </c>
      <c r="I28" s="10" t="n">
        <v>55.896</v>
      </c>
      <c r="J28" s="10" t="n">
        <v>1.09</v>
      </c>
      <c r="K28" s="11" t="n">
        <v>0.01988833339415393</v>
      </c>
      <c r="L28" s="12" t="n">
        <v>6525.99</v>
      </c>
      <c r="M28" s="12" t="n">
        <v>6625.99</v>
      </c>
      <c r="N28" s="12" t="n">
        <v>100</v>
      </c>
      <c r="O28" s="13" t="n">
        <v>0.01532334557668645</v>
      </c>
    </row>
    <row r="29">
      <c r="A29" s="5" t="n">
        <v>46310</v>
      </c>
      <c r="B29" s="6" t="n">
        <v>0.4383449074074074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6462.71</v>
      </c>
      <c r="M29" s="12" t="n">
        <v>6640.04</v>
      </c>
      <c r="N29" s="12" t="n">
        <v>177.33</v>
      </c>
      <c r="O29" s="13" t="n">
        <v>0.02743895362781248</v>
      </c>
    </row>
    <row r="30">
      <c r="A30" s="5" t="n">
        <v>46310</v>
      </c>
      <c r="B30" s="6" t="n">
        <v>0.4383449074074074</v>
      </c>
      <c r="C30" s="41" t="inlineStr">
        <is>
          <t>QNB Finansbank</t>
        </is>
      </c>
      <c r="D30" s="8" t="n">
        <v>48.6575</v>
      </c>
      <c r="E30" s="8" t="n">
        <v>50.1775</v>
      </c>
      <c r="F30" s="8" t="n">
        <v>1.52</v>
      </c>
      <c r="G30" s="9" t="n">
        <v>0.03123876072547911</v>
      </c>
      <c r="H30" s="10" t="n">
        <v>54.4402</v>
      </c>
      <c r="I30" s="10" t="n">
        <v>56.3822</v>
      </c>
      <c r="J30" s="10" t="n">
        <v>1.942</v>
      </c>
      <c r="K30" s="11" t="n">
        <v>0.03567216872825596</v>
      </c>
      <c r="L30" s="12" t="n">
        <v>6436.36</v>
      </c>
      <c r="M30" s="12" t="n">
        <v>6666.18</v>
      </c>
      <c r="N30" s="12" t="n">
        <v>229.82</v>
      </c>
      <c r="O30" s="13" t="n">
        <v>0.03570651734831489</v>
      </c>
    </row>
    <row r="31">
      <c r="A31" s="5" t="n">
        <v>46310</v>
      </c>
      <c r="B31" s="6" t="n">
        <v>0.4383449074074074</v>
      </c>
      <c r="C31" s="42" t="inlineStr">
        <is>
          <t>TOM Bank Hadi</t>
        </is>
      </c>
      <c r="D31" s="8" t="n">
        <v>49.2622</v>
      </c>
      <c r="E31" s="8" t="n">
        <v>49.5586</v>
      </c>
      <c r="F31" s="8" t="n">
        <v>0.2964</v>
      </c>
      <c r="G31" s="9" t="n">
        <v>0.006016783659682272</v>
      </c>
      <c r="H31" s="10" t="n">
        <v>55.1814</v>
      </c>
      <c r="I31" s="10" t="n">
        <v>55.5139</v>
      </c>
      <c r="J31" s="10" t="n">
        <v>0.3325</v>
      </c>
      <c r="K31" s="11" t="n">
        <v>0.006025581083481027</v>
      </c>
      <c r="L31" s="12" t="n">
        <v>6528.97</v>
      </c>
      <c r="M31" s="12" t="n">
        <v>6574.81</v>
      </c>
      <c r="N31" s="12" t="n">
        <v>45.84</v>
      </c>
      <c r="O31" s="13" t="n">
        <v>0.007021015566008114</v>
      </c>
    </row>
    <row r="32">
      <c r="A32" s="5" t="n">
        <v>46310</v>
      </c>
      <c r="B32" s="6" t="n">
        <v>0.4383449074074074</v>
      </c>
      <c r="C32" s="43" t="inlineStr">
        <is>
          <t>Türkiye Finans</t>
        </is>
      </c>
      <c r="D32" s="8" t="n">
        <v>48.9704</v>
      </c>
      <c r="E32" s="8" t="n">
        <v>49.774</v>
      </c>
      <c r="F32" s="8" t="n">
        <v>0.8036</v>
      </c>
      <c r="G32" s="9" t="n">
        <v>0.01640991292699263</v>
      </c>
      <c r="H32" s="10" t="n">
        <v>54.9312</v>
      </c>
      <c r="I32" s="10" t="n">
        <v>55.784</v>
      </c>
      <c r="J32" s="10" t="n">
        <v>0.8528</v>
      </c>
      <c r="K32" s="11" t="n">
        <v>0.01552487475241757</v>
      </c>
      <c r="L32" s="12" t="n">
        <v>6478.13</v>
      </c>
      <c r="M32" s="12" t="n">
        <v>6674.67</v>
      </c>
      <c r="N32" s="12" t="n">
        <v>196.54</v>
      </c>
      <c r="O32" s="13" t="n">
        <v>0.03033900215031189</v>
      </c>
    </row>
    <row r="33">
      <c r="A33" s="5" t="n">
        <v>46310</v>
      </c>
      <c r="B33" s="6" t="n">
        <v>0.4383449074074074</v>
      </c>
      <c r="C33" s="44" t="inlineStr">
        <is>
          <t>Vakıf Katılım</t>
        </is>
      </c>
      <c r="D33" s="8" t="n">
        <v>49.271</v>
      </c>
      <c r="E33" s="8" t="n">
        <v>49.4789</v>
      </c>
      <c r="F33" s="8" t="n">
        <v>0.2079</v>
      </c>
      <c r="G33" s="9" t="n">
        <v>0.004219520610501106</v>
      </c>
      <c r="H33" s="10" t="n">
        <v>55.2341</v>
      </c>
      <c r="I33" s="10" t="n">
        <v>55.4566</v>
      </c>
      <c r="J33" s="10" t="n">
        <v>0.2225</v>
      </c>
      <c r="K33" s="11" t="n">
        <v>0.004028308599216789</v>
      </c>
      <c r="L33" s="12" t="n">
        <v>6517.17</v>
      </c>
      <c r="M33" s="12" t="n">
        <v>6569.52</v>
      </c>
      <c r="N33" s="12" t="n">
        <v>52.35</v>
      </c>
      <c r="O33" s="13" t="n">
        <v>0.008032627658937853</v>
      </c>
    </row>
    <row r="34">
      <c r="A34" s="5" t="n">
        <v>46310</v>
      </c>
      <c r="B34" s="6" t="n">
        <v>0.4383449074074074</v>
      </c>
      <c r="C34" s="45" t="inlineStr">
        <is>
          <t>Vakıfbank</t>
        </is>
      </c>
      <c r="D34" s="8" t="n">
        <v>48.9948</v>
      </c>
      <c r="E34" s="8" t="n">
        <v>49.9804</v>
      </c>
      <c r="F34" s="8" t="n">
        <v>0.9856</v>
      </c>
      <c r="G34" s="9" t="n">
        <v>0.0201164205180958</v>
      </c>
      <c r="H34" s="10" t="n">
        <v>54.9571</v>
      </c>
      <c r="I34" s="10" t="n">
        <v>56.052</v>
      </c>
      <c r="J34" s="10" t="n">
        <v>1.0949</v>
      </c>
      <c r="K34" s="11" t="n">
        <v>0.01992281252103914</v>
      </c>
      <c r="L34" s="12" t="n">
        <v>6484.5</v>
      </c>
      <c r="M34" s="12" t="n">
        <v>6627.1</v>
      </c>
      <c r="N34" s="12" t="n">
        <v>142.6</v>
      </c>
      <c r="O34" s="13" t="n">
        <v>0.02199090138021436</v>
      </c>
    </row>
    <row r="35">
      <c r="A35" s="5" t="n">
        <v>46310</v>
      </c>
      <c r="B35" s="6" t="n">
        <v>0.4383449074074074</v>
      </c>
      <c r="C35" s="46" t="inlineStr">
        <is>
          <t>Venüs</t>
        </is>
      </c>
      <c r="D35" s="8" t="n">
        <v>49.374</v>
      </c>
      <c r="E35" s="8" t="n">
        <v>49.416</v>
      </c>
      <c r="F35" s="8" t="n">
        <v>0.042</v>
      </c>
      <c r="G35" s="9" t="n">
        <v>0.0008506501397496659</v>
      </c>
      <c r="H35" s="10" t="n">
        <v>55.259</v>
      </c>
      <c r="I35" s="10" t="n">
        <v>55.376</v>
      </c>
      <c r="J35" s="10" t="n">
        <v>0.117</v>
      </c>
      <c r="K35" s="11" t="n">
        <v>0.002117302158924338</v>
      </c>
      <c r="L35" s="12" t="n"/>
      <c r="M35" s="12" t="n"/>
      <c r="N35" s="12" t="n"/>
      <c r="O35" s="13" t="n"/>
    </row>
    <row r="36">
      <c r="A36" s="5" t="n">
        <v>46310</v>
      </c>
      <c r="B36" s="6" t="n">
        <v>0.4383449074074074</v>
      </c>
      <c r="C36" s="47" t="inlineStr">
        <is>
          <t>Yapıkredi</t>
        </is>
      </c>
      <c r="D36" s="8" t="n">
        <v>48.82</v>
      </c>
      <c r="E36" s="8" t="n">
        <v>49.82</v>
      </c>
      <c r="F36" s="8" t="n">
        <v>1</v>
      </c>
      <c r="G36" s="9" t="n">
        <v>0.02048340843916428</v>
      </c>
      <c r="H36" s="10" t="n">
        <v>54.73</v>
      </c>
      <c r="I36" s="10" t="n">
        <v>55.85</v>
      </c>
      <c r="J36" s="10" t="n">
        <v>1.12</v>
      </c>
      <c r="K36" s="11" t="n">
        <v>0.02046409647359766</v>
      </c>
      <c r="L36" s="12" t="n">
        <v>6461.81</v>
      </c>
      <c r="M36" s="12" t="n">
        <v>6663.05</v>
      </c>
      <c r="N36" s="12" t="n">
        <v>201.24</v>
      </c>
      <c r="O36" s="13" t="n">
        <v>0.03114297696775362</v>
      </c>
    </row>
    <row r="37">
      <c r="A37" s="5" t="n">
        <v>46310</v>
      </c>
      <c r="B37" s="6" t="n">
        <v>0.4383449074074074</v>
      </c>
      <c r="C37" s="48" t="inlineStr">
        <is>
          <t>Ziraat Bankası</t>
        </is>
      </c>
      <c r="D37" s="8" t="n">
        <v>49.0014</v>
      </c>
      <c r="E37" s="8" t="n">
        <v>49.9928</v>
      </c>
      <c r="F37" s="8" t="n">
        <v>0.9913999999999999</v>
      </c>
      <c r="G37" s="9" t="n">
        <v>0.02023207500193872</v>
      </c>
      <c r="H37" s="10" t="n">
        <v>54.9421</v>
      </c>
      <c r="I37" s="10" t="n">
        <v>56.0536</v>
      </c>
      <c r="J37" s="10" t="n">
        <v>1.1115</v>
      </c>
      <c r="K37" s="11" t="n">
        <v>0.02023038799026612</v>
      </c>
      <c r="L37" s="12" t="n">
        <v>6518.14</v>
      </c>
      <c r="M37" s="12" t="n">
        <v>6649.75</v>
      </c>
      <c r="N37" s="12" t="n">
        <v>131.61</v>
      </c>
      <c r="O37" s="13" t="n">
        <v>0.02019134292911782</v>
      </c>
    </row>
    <row r="38">
      <c r="A38" s="5" t="n">
        <v>46310</v>
      </c>
      <c r="B38" s="6" t="n">
        <v>0.4383449074074074</v>
      </c>
      <c r="C38" s="49" t="inlineStr">
        <is>
          <t>Ziraat Dinamik</t>
        </is>
      </c>
      <c r="D38" s="8" t="n">
        <v>49.0506</v>
      </c>
      <c r="E38" s="8" t="n">
        <v>49.718</v>
      </c>
      <c r="F38" s="8" t="n">
        <v>0.6674</v>
      </c>
      <c r="G38" s="9" t="n">
        <v>0.01360635751652375</v>
      </c>
      <c r="H38" s="10" t="n">
        <v>54.9325</v>
      </c>
      <c r="I38" s="10" t="n">
        <v>55.7356</v>
      </c>
      <c r="J38" s="10" t="n">
        <v>0.8031</v>
      </c>
      <c r="K38" s="11" t="n">
        <v>0.0146197606153006</v>
      </c>
      <c r="L38" s="12" t="n">
        <v>6486.55</v>
      </c>
      <c r="M38" s="12" t="n">
        <v>6617.52</v>
      </c>
      <c r="N38" s="12" t="n">
        <v>130.97</v>
      </c>
      <c r="O38" s="13" t="n">
        <v>0.02019101062968758</v>
      </c>
    </row>
    <row r="39">
      <c r="A39" s="5" t="n">
        <v>46310</v>
      </c>
      <c r="B39" s="6" t="n">
        <v>0.4383449074074074</v>
      </c>
      <c r="C39" s="50" t="inlineStr">
        <is>
          <t>Ziraat Katılım</t>
        </is>
      </c>
      <c r="D39" s="8" t="n">
        <v>48.8766</v>
      </c>
      <c r="E39" s="8" t="n">
        <v>49.8965</v>
      </c>
      <c r="F39" s="8" t="n">
        <v>1.0199</v>
      </c>
      <c r="G39" s="9" t="n">
        <v>0.02086683607288559</v>
      </c>
      <c r="H39" s="10" t="n">
        <v>54.7623</v>
      </c>
      <c r="I39" s="10" t="n">
        <v>55.9604</v>
      </c>
      <c r="J39" s="10" t="n">
        <v>1.1981</v>
      </c>
      <c r="K39" s="11" t="n">
        <v>0.02187818992262925</v>
      </c>
      <c r="L39" s="12" t="n">
        <v>6505.83</v>
      </c>
      <c r="M39" s="12" t="n">
        <v>6712.41</v>
      </c>
      <c r="N39" s="12" t="n">
        <v>206.58</v>
      </c>
      <c r="O39" s="13" t="n">
        <v>0.03175305841068703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</hyperlinks>
  <pageMargins left="0.75" right="0.75" top="1" bottom="1" header="0.5" footer="0.5"/>
  <tableParts count="1">
    <tablePart xmlns:r="http://schemas.openxmlformats.org/officeDocument/2006/relationships" r:id="rId528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46310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0.4383449074074074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0.02023207500193872</v>
      </c>
      <c r="O5" s="73" t="inlineStr">
        <is>
          <t>Ziraat Bankası</t>
        </is>
      </c>
      <c r="P5" s="74" t="n">
        <v>49.0014</v>
      </c>
      <c r="Q5" s="74" t="n">
        <v>49.9928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0.02023038799026612</v>
      </c>
      <c r="O6" s="73" t="inlineStr">
        <is>
          <t>Ziraat Bankası</t>
        </is>
      </c>
      <c r="P6" s="74" t="n">
        <v>54.9421</v>
      </c>
      <c r="Q6" s="74" t="n">
        <v>56.0536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0.02019134292911782</v>
      </c>
      <c r="O7" s="73" t="inlineStr">
        <is>
          <t>Ziraat Bankası</t>
        </is>
      </c>
      <c r="P7" s="74" t="n">
        <v>6518.14</v>
      </c>
      <c r="Q7" s="74" t="n">
        <v>6649.75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0.03157406345646032</v>
      </c>
      <c r="I15" s="69" t="n">
        <v>0.03157363898646439</v>
      </c>
      <c r="J15" s="70" t="n">
        <v>0.04272296056771507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0.03551625986654951</v>
      </c>
      <c r="I16" s="69" t="n">
        <v>0.03557806258153851</v>
      </c>
      <c r="J16" s="70" t="n">
        <v>0.04825548849516869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0.03016469951902134</v>
      </c>
      <c r="I17" s="69" t="n">
        <v>0.02898480364056443</v>
      </c>
      <c r="J17" s="70" t="n">
        <v>0.04505378189047556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0.03107011519017328</v>
      </c>
      <c r="I18" s="69" t="n">
        <v>0.0310705165642568</v>
      </c>
      <c r="J18" s="70" t="n">
        <v>0.05339062064547036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0.03268729172579446</v>
      </c>
      <c r="I19" s="69" t="n">
        <v>0.03280389162055024</v>
      </c>
      <c r="J19" s="70" t="n">
        <v>0.05565736071590375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0.03157406345646032</v>
      </c>
      <c r="V4" s="55" t="n">
        <v>0.03551625986654951</v>
      </c>
      <c r="W4" s="55" t="n">
        <v>0.03016469951902134</v>
      </c>
      <c r="X4" s="55" t="n">
        <v>0.03107011519017328</v>
      </c>
      <c r="Y4" s="55" t="n">
        <v>0.03268729172579446</v>
      </c>
      <c r="Z4" s="55" t="n">
        <v>0.03157363898646439</v>
      </c>
      <c r="AA4" s="55" t="n">
        <v>0.03557806258153851</v>
      </c>
      <c r="AB4" s="55" t="n">
        <v>0.02898480364056443</v>
      </c>
      <c r="AC4" s="55" t="n">
        <v>0.0310705165642568</v>
      </c>
      <c r="AD4" s="55" t="n">
        <v>0.03280389162055024</v>
      </c>
      <c r="AE4" s="55" t="n">
        <v>0.04272296056771507</v>
      </c>
      <c r="AF4" s="55" t="n">
        <v>0.04825548849516869</v>
      </c>
      <c r="AG4" s="55" t="n">
        <v>0.04505378189047556</v>
      </c>
      <c r="AH4" s="55" t="n">
        <v>0.05339062064547036</v>
      </c>
      <c r="AI4" s="55" t="n">
        <v>0.05565736071590375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2026-10-15T07:31:53Z</dcterms:created>
  <dcterms:modified xsi:type="dcterms:W3CDTF">2026-10-15T07:31:53Z</dcterms:modified>
</cp:coreProperties>
</file>