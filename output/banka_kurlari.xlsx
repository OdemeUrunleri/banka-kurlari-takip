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'GRAFIK_VERILERI'!$B$2:$B$44</f>
              <numCache>
                <formatCode>0.00%</formatCode>
                <ptCount val="4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'GRAFIK_VERILERI'!$C$2:$C$44</f>
              <numCache>
                <formatCode>0.00%</formatCode>
                <ptCount val="4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'GRAFIK_VERILERI'!$D$2:$D$44</f>
              <numCache>
                <formatCode>0.00%</formatCode>
                <ptCount val="4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'GRAFIK_VERILERI'!$E$2:$E$44</f>
              <numCache>
                <formatCode>0.00%</formatCode>
                <ptCount val="4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'GRAFIK_VERILERI'!$F$2:$F$44</f>
              <numCache>
                <formatCode>0.00%</formatCode>
                <ptCount val="4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'GRAFIK_VERILERI'!$G$2:$G$44</f>
              <numCache>
                <formatCode>0.00%</formatCode>
                <ptCount val="4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'GRAFIK_VERILERI'!$H$2:$H$44</f>
              <numCache>
                <formatCode>0.00%</formatCode>
                <ptCount val="4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'GRAFIK_VERILERI'!$I$2:$I$44</f>
              <numCache>
                <formatCode>0.00%</formatCode>
                <ptCount val="4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'GRAFIK_VERILERI'!$J$2:$J$44</f>
              <numCache>
                <formatCode>0.00%</formatCode>
                <ptCount val="4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'GRAFIK_VERILERI'!$K$2:$K$44</f>
              <numCache>
                <formatCode>0.00%</formatCode>
                <ptCount val="4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'GRAFIK_VERILERI'!$L$2:$L$44</f>
              <numCache>
                <formatCode>0.00%</formatCode>
                <ptCount val="4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'GRAFIK_VERILERI'!$M$2:$M$44</f>
              <numCache>
                <formatCode>0.00%</formatCode>
                <ptCount val="4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'GRAFIK_VERILERI'!$N$2:$N$44</f>
              <numCache>
                <formatCode>0.00%</formatCode>
                <ptCount val="4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'GRAFIK_VERILERI'!$O$2:$O$44</f>
              <numCache>
                <formatCode>0.00%</formatCode>
                <ptCount val="4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'GRAFIK_VERILERI'!$P$2:$P$44</f>
              <numCache>
                <formatCode>0.00%</formatCode>
                <ptCount val="4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0.03101448534811269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0.03430353739359182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0.02833485306391465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0.0292638232636986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0.03128347084699335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498404732096"/>
          <min val="0.0254439550202388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0.03101285064581575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0.03437561643760044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0.02729185861481412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0.02926421125548317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0.03140608907183801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507229533518419"/>
          <min val="0.0236683233904180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0.0417685927877266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0.04626237394980423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0.04260990686572542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0.04785775457702986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0.05097391002796382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7182628383296"/>
          <min val="0.032775157563734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'GRAFIK_VERILERI'!$B$2:$B$44</f>
              <numCache>
                <formatCode>0.00%</formatCode>
                <ptCount val="43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676691645504"/>
          <min val="0.0249830374173373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'GRAFIK_VERILERI'!$G$2:$G$44</f>
              <numCache>
                <formatCode>0.00%</formatCode>
                <ptCount val="43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7455721775224"/>
          <min val="0.0249757484543022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'GRAFIK_VERILERI'!$L$2:$L$44</f>
              <numCache>
                <formatCode>0.00%</formatCode>
                <ptCount val="43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4858238160856"/>
          <min val="0.023023100822377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'GRAFIK_VERILERI'!$C$2:$C$44</f>
              <numCache>
                <formatCode>0.00%</formatCode>
                <ptCount val="43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2340655590097"/>
          <min val="0.021877110977916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'GRAFIK_VERILERI'!$H$2:$H$44</f>
              <numCache>
                <formatCode>0.00%</formatCode>
                <ptCount val="43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5256438213096"/>
          <min val="0.021822884546087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'GRAFIK_VERILERI'!$M$2:$M$44</f>
              <numCache>
                <formatCode>0.00%</formatCode>
                <ptCount val="43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7927875854674"/>
          <min val="0.025441366871483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'GRAFIK_VERILERI'!$D$2:$D$44</f>
              <numCache>
                <formatCode>0.00%</formatCode>
                <ptCount val="43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'GRAFIK_VERILERI'!$I$2:$I$44</f>
              <numCache>
                <formatCode>0.00%</formatCode>
                <ptCount val="43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914653681928127"/>
          <min val="0.0113849576426731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'GRAFIK_VERILERI'!$N$2:$N$44</f>
              <numCache>
                <formatCode>0.00%</formatCode>
                <ptCount val="43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396176961037092"/>
          <min val="0.01582996403646784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'GRAFIK_VERILERI'!$E$2:$E$44</f>
              <numCache>
                <formatCode>0.00%</formatCode>
                <ptCount val="43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'GRAFIK_VERILERI'!$J$2:$J$44</f>
              <numCache>
                <formatCode>0.00%</formatCode>
                <ptCount val="43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'GRAFIK_VERILERI'!$O$2:$O$44</f>
              <numCache>
                <formatCode>0.00%</formatCode>
                <ptCount val="43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'GRAFIK_VERILERI'!$F$2:$F$44</f>
              <numCache>
                <formatCode>0.00%</formatCode>
                <ptCount val="43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'GRAFIK_VERILERI'!$K$2:$K$44</f>
              <numCache>
                <formatCode>0.00%</formatCode>
                <ptCount val="43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'GRAFIK_VERILERI'!$A$2:$A$44</f>
              <strCache>
                <ptCount val="43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</strCache>
            </strRef>
          </cat>
          <val>
            <numRef>
              <f>'GRAFIK_VERILERI'!$P$2:$P$44</f>
              <numCache>
                <formatCode>0.00%</formatCode>
                <ptCount val="43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636" headerRowCount="1">
  <autoFilter ref="A1:N4636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table" Target="/xl/tables/table2.xml" Id="rId463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46304</v>
      </c>
      <c r="B2" s="6" t="n">
        <v>0.4239583333333333</v>
      </c>
      <c r="C2" s="7" t="inlineStr">
        <is>
          <t>Akbank</t>
        </is>
      </c>
      <c r="D2" s="8" t="n">
        <v>48.465</v>
      </c>
      <c r="E2" s="8" t="n">
        <v>49.815</v>
      </c>
      <c r="F2" s="8" t="n">
        <v>1.35</v>
      </c>
      <c r="G2" s="9" t="n">
        <v>0.02785515320334262</v>
      </c>
      <c r="H2" s="10" t="n">
        <v>54.4018</v>
      </c>
      <c r="I2" s="10" t="n">
        <v>55.9172</v>
      </c>
      <c r="J2" s="10" t="n">
        <v>1.5154</v>
      </c>
      <c r="K2" s="11" t="n">
        <v>0.02785569595123691</v>
      </c>
      <c r="L2" s="12" t="n">
        <v>6469.69</v>
      </c>
      <c r="M2" s="12" t="n">
        <v>6698.65</v>
      </c>
      <c r="N2" s="12" t="n">
        <v>228.96</v>
      </c>
      <c r="O2" s="13" t="n">
        <v>0.03538963999820702</v>
      </c>
    </row>
    <row r="3">
      <c r="A3" s="5" t="n">
        <v>46304</v>
      </c>
      <c r="B3" s="6" t="n">
        <v>0.4239583333333333</v>
      </c>
      <c r="C3" s="14" t="inlineStr">
        <is>
          <t>Albaraka Türk</t>
        </is>
      </c>
      <c r="D3" s="8" t="n">
        <v>48.872</v>
      </c>
      <c r="E3" s="8" t="n">
        <v>49.593</v>
      </c>
      <c r="F3" s="8" t="n">
        <v>0.721</v>
      </c>
      <c r="G3" s="9" t="n">
        <v>0.01475282370273367</v>
      </c>
      <c r="H3" s="10" t="n">
        <v>54.868</v>
      </c>
      <c r="I3" s="10" t="n">
        <v>55.684</v>
      </c>
      <c r="J3" s="10" t="n">
        <v>0.8159999999999999</v>
      </c>
      <c r="K3" s="11" t="n">
        <v>0.01487205657213676</v>
      </c>
      <c r="L3" s="12" t="n">
        <v>6542.99</v>
      </c>
      <c r="M3" s="12" t="n">
        <v>6667.4</v>
      </c>
      <c r="N3" s="12" t="n">
        <v>124.41</v>
      </c>
      <c r="O3" s="13" t="n">
        <v>0.01901424272389229</v>
      </c>
    </row>
    <row r="4">
      <c r="A4" s="5" t="n">
        <v>46304</v>
      </c>
      <c r="B4" s="6" t="n">
        <v>0.4239583333333333</v>
      </c>
      <c r="C4" s="15" t="inlineStr">
        <is>
          <t>Alternatif Bank</t>
        </is>
      </c>
      <c r="D4" s="8" t="n">
        <v>49.125</v>
      </c>
      <c r="E4" s="8" t="n">
        <v>49.419</v>
      </c>
      <c r="F4" s="8" t="n">
        <v>0.294</v>
      </c>
      <c r="G4" s="9" t="n">
        <v>0.005984732824427481</v>
      </c>
      <c r="H4" s="10" t="n">
        <v>54.983</v>
      </c>
      <c r="I4" s="10" t="n">
        <v>55.485</v>
      </c>
      <c r="J4" s="10" t="n">
        <v>0.502</v>
      </c>
      <c r="K4" s="11" t="n">
        <v>0.009130094756561119</v>
      </c>
      <c r="L4" s="12" t="n">
        <v>6614.21</v>
      </c>
      <c r="M4" s="12" t="n">
        <v>6680.21</v>
      </c>
      <c r="N4" s="12" t="n">
        <v>66</v>
      </c>
      <c r="O4" s="13" t="n">
        <v>0.009978515952774405</v>
      </c>
    </row>
    <row r="5">
      <c r="A5" s="5" t="n">
        <v>46304</v>
      </c>
      <c r="B5" s="6" t="n">
        <v>0.4239583333333333</v>
      </c>
      <c r="C5" s="16" t="inlineStr">
        <is>
          <t>Altınkaynak</t>
        </is>
      </c>
      <c r="D5" s="8" t="n">
        <v>49.141</v>
      </c>
      <c r="E5" s="8" t="n">
        <v>49.31</v>
      </c>
      <c r="F5" s="8" t="n">
        <v>0.169</v>
      </c>
      <c r="G5" s="9" t="n">
        <v>0.00343908345373517</v>
      </c>
      <c r="H5" s="10" t="n">
        <v>55.052</v>
      </c>
      <c r="I5" s="10" t="n">
        <v>55.363</v>
      </c>
      <c r="J5" s="10" t="n">
        <v>0.311</v>
      </c>
      <c r="K5" s="11" t="n">
        <v>0.005649204388578072</v>
      </c>
      <c r="L5" s="12" t="n">
        <v>6585</v>
      </c>
      <c r="M5" s="12" t="n">
        <v>6720</v>
      </c>
      <c r="N5" s="12" t="n">
        <v>135</v>
      </c>
      <c r="O5" s="13" t="n">
        <v>0.02050113895216401</v>
      </c>
    </row>
    <row r="6">
      <c r="A6" s="5" t="n">
        <v>46304</v>
      </c>
      <c r="B6" s="6" t="n">
        <v>0.4239583333333333</v>
      </c>
      <c r="C6" s="17" t="inlineStr">
        <is>
          <t>Anadolubank</t>
        </is>
      </c>
      <c r="D6" s="8" t="n">
        <v>48.3633</v>
      </c>
      <c r="E6" s="8" t="n">
        <v>49.6401</v>
      </c>
      <c r="F6" s="8" t="n">
        <v>1.2768</v>
      </c>
      <c r="G6" s="9" t="n">
        <v>0.02640018361029954</v>
      </c>
      <c r="H6" s="10" t="n">
        <v>54.368</v>
      </c>
      <c r="I6" s="10" t="n">
        <v>55.7391</v>
      </c>
      <c r="J6" s="10" t="n">
        <v>1.3711</v>
      </c>
      <c r="K6" s="11" t="n">
        <v>0.02521887875220718</v>
      </c>
      <c r="L6" s="12" t="n">
        <v>6517.39</v>
      </c>
      <c r="M6" s="12" t="n">
        <v>6673.15</v>
      </c>
      <c r="N6" s="12" t="n">
        <v>155.76</v>
      </c>
      <c r="O6" s="13" t="n">
        <v>0.0238991375381863</v>
      </c>
    </row>
    <row r="7">
      <c r="A7" s="5" t="n">
        <v>46304</v>
      </c>
      <c r="B7" s="6" t="n">
        <v>0.4239583333333333</v>
      </c>
      <c r="C7" s="18" t="inlineStr">
        <is>
          <t>CEPTETEB</t>
        </is>
      </c>
      <c r="D7" s="8" t="n">
        <v>48.195</v>
      </c>
      <c r="E7" s="8" t="n">
        <v>50.154</v>
      </c>
      <c r="F7" s="8" t="n">
        <v>1.959</v>
      </c>
      <c r="G7" s="9" t="n">
        <v>0.04064737005913477</v>
      </c>
      <c r="H7" s="10" t="n">
        <v>54.104</v>
      </c>
      <c r="I7" s="10" t="n">
        <v>56.323</v>
      </c>
      <c r="J7" s="10" t="n">
        <v>2.219</v>
      </c>
      <c r="K7" s="11" t="n">
        <v>0.04101360343043028</v>
      </c>
      <c r="L7" s="12" t="n">
        <v>6512.77</v>
      </c>
      <c r="M7" s="12" t="n">
        <v>6710.6</v>
      </c>
      <c r="N7" s="12" t="n">
        <v>197.83</v>
      </c>
      <c r="O7" s="13" t="n">
        <v>0.03037570803206623</v>
      </c>
    </row>
    <row r="8">
      <c r="A8" s="5" t="n">
        <v>46304</v>
      </c>
      <c r="B8" s="6" t="n">
        <v>0.4239583333333333</v>
      </c>
      <c r="C8" s="19" t="inlineStr">
        <is>
          <t>Denizbank</t>
        </is>
      </c>
      <c r="D8" s="8" t="n">
        <v>48.4731</v>
      </c>
      <c r="E8" s="8" t="n">
        <v>49.8732</v>
      </c>
      <c r="F8" s="8" t="n">
        <v>1.4001</v>
      </c>
      <c r="G8" s="9" t="n">
        <v>0.02888406146914474</v>
      </c>
      <c r="H8" s="10" t="n">
        <v>54.4022</v>
      </c>
      <c r="I8" s="10" t="n">
        <v>55.9786</v>
      </c>
      <c r="J8" s="10" t="n">
        <v>1.5764</v>
      </c>
      <c r="K8" s="11" t="n">
        <v>0.0289767693218289</v>
      </c>
      <c r="L8" s="12" t="n">
        <v>6533.88</v>
      </c>
      <c r="M8" s="12" t="n">
        <v>6723.54</v>
      </c>
      <c r="N8" s="12" t="n">
        <v>189.66</v>
      </c>
      <c r="O8" s="13" t="n">
        <v>0.02902716303329721</v>
      </c>
    </row>
    <row r="9">
      <c r="A9" s="5" t="n">
        <v>46304</v>
      </c>
      <c r="B9" s="6" t="n">
        <v>0.4239583333333333</v>
      </c>
      <c r="C9" s="20" t="inlineStr">
        <is>
          <t>DestekBank</t>
        </is>
      </c>
      <c r="D9" s="8" t="n">
        <v>49.0853</v>
      </c>
      <c r="E9" s="8" t="n">
        <v>49.2377</v>
      </c>
      <c r="F9" s="8" t="n">
        <v>0.1524</v>
      </c>
      <c r="G9" s="9" t="n">
        <v>0.003104799196500785</v>
      </c>
      <c r="H9" s="10" t="n">
        <v>55.0884</v>
      </c>
      <c r="I9" s="10" t="n">
        <v>55.284</v>
      </c>
      <c r="J9" s="10" t="n">
        <v>0.1956</v>
      </c>
      <c r="K9" s="11" t="n">
        <v>0.003550656762585226</v>
      </c>
      <c r="L9" s="12" t="n">
        <v>6526.74</v>
      </c>
      <c r="M9" s="12" t="n">
        <v>6661.1</v>
      </c>
      <c r="N9" s="12" t="n">
        <v>134.36</v>
      </c>
      <c r="O9" s="13" t="n">
        <v>0.02058608125955684</v>
      </c>
    </row>
    <row r="10">
      <c r="A10" s="5" t="n">
        <v>46304</v>
      </c>
      <c r="B10" s="6" t="n">
        <v>0.4239583333333333</v>
      </c>
      <c r="C10" s="21" t="inlineStr">
        <is>
          <t>Dünya Katılım</t>
        </is>
      </c>
      <c r="D10" s="8" t="n">
        <v>49.1197</v>
      </c>
      <c r="E10" s="8" t="n">
        <v>49.2105</v>
      </c>
      <c r="F10" s="8" t="n">
        <v>0.09080000000000001</v>
      </c>
      <c r="G10" s="9" t="n">
        <v>0.001848545491930936</v>
      </c>
      <c r="H10" s="10" t="n">
        <v>55.0772</v>
      </c>
      <c r="I10" s="10" t="n">
        <v>55.2778</v>
      </c>
      <c r="J10" s="10" t="n">
        <v>0.2006</v>
      </c>
      <c r="K10" s="11" t="n">
        <v>0.003642160458411103</v>
      </c>
      <c r="L10" s="12" t="n">
        <v>6577.23</v>
      </c>
      <c r="M10" s="12" t="n">
        <v>6611.95</v>
      </c>
      <c r="N10" s="12" t="n">
        <v>34.72</v>
      </c>
      <c r="O10" s="13" t="n">
        <v>0.00527881798264619</v>
      </c>
    </row>
    <row r="11">
      <c r="A11" s="5" t="n">
        <v>46304</v>
      </c>
      <c r="B11" s="6" t="n">
        <v>0.4239583333333333</v>
      </c>
      <c r="C11" s="22" t="inlineStr">
        <is>
          <t>Emlak Katılım</t>
        </is>
      </c>
      <c r="D11" s="8" t="n">
        <v>48.8294</v>
      </c>
      <c r="E11" s="8" t="n">
        <v>50.0918</v>
      </c>
      <c r="F11" s="8" t="n">
        <v>1.2624</v>
      </c>
      <c r="G11" s="9" t="n">
        <v>0.02585327691923308</v>
      </c>
      <c r="H11" s="10" t="n">
        <v>54.7289</v>
      </c>
      <c r="I11" s="10" t="n">
        <v>55.9903</v>
      </c>
      <c r="J11" s="10" t="n">
        <v>1.2614</v>
      </c>
      <c r="K11" s="11" t="n">
        <v>0.02304815189050027</v>
      </c>
      <c r="L11" s="12" t="n">
        <v>6570.05</v>
      </c>
      <c r="M11" s="12" t="n">
        <v>6645.14</v>
      </c>
      <c r="N11" s="12" t="n">
        <v>75.09</v>
      </c>
      <c r="O11" s="13" t="n">
        <v>0.01142913676456039</v>
      </c>
    </row>
    <row r="12">
      <c r="A12" s="5" t="n">
        <v>46304</v>
      </c>
      <c r="B12" s="6" t="n">
        <v>0.4239583333333333</v>
      </c>
      <c r="C12" s="23" t="inlineStr">
        <is>
          <t>Enpara</t>
        </is>
      </c>
      <c r="D12" s="8" t="n">
        <v>48.7925</v>
      </c>
      <c r="E12" s="8" t="n">
        <v>49.5925</v>
      </c>
      <c r="F12" s="8" t="n">
        <v>0.8</v>
      </c>
      <c r="G12" s="9" t="n">
        <v>0.01639596249423579</v>
      </c>
      <c r="H12" s="10" t="n">
        <v>54.7197</v>
      </c>
      <c r="I12" s="10" t="n">
        <v>55.7481</v>
      </c>
      <c r="J12" s="10" t="n">
        <v>1.0284</v>
      </c>
      <c r="K12" s="11" t="n">
        <v>0.01879396268619894</v>
      </c>
      <c r="L12" s="12" t="n">
        <v>6541.01</v>
      </c>
      <c r="M12" s="12" t="n">
        <v>6670.81</v>
      </c>
      <c r="N12" s="12" t="n">
        <v>129.8</v>
      </c>
      <c r="O12" s="13" t="n">
        <v>0.01984403020328665</v>
      </c>
    </row>
    <row r="13">
      <c r="A13" s="5" t="n">
        <v>46304</v>
      </c>
      <c r="B13" s="6" t="n">
        <v>0.4239583333333333</v>
      </c>
      <c r="C13" s="24" t="inlineStr">
        <is>
          <t>Fibabanka</t>
        </is>
      </c>
      <c r="D13" s="8" t="n">
        <v>48.8933</v>
      </c>
      <c r="E13" s="8" t="n">
        <v>49.52</v>
      </c>
      <c r="F13" s="8" t="n">
        <v>0.6267</v>
      </c>
      <c r="G13" s="9" t="n">
        <v>0.01281770712960672</v>
      </c>
      <c r="H13" s="10" t="n">
        <v>54.8909</v>
      </c>
      <c r="I13" s="10" t="n">
        <v>55.5753</v>
      </c>
      <c r="J13" s="10" t="n">
        <v>0.6844</v>
      </c>
      <c r="K13" s="11" t="n">
        <v>0.01246836907392664</v>
      </c>
      <c r="L13" s="12" t="n">
        <v>6603.08</v>
      </c>
      <c r="M13" s="12" t="n">
        <v>6660.04</v>
      </c>
      <c r="N13" s="12" t="n">
        <v>56.96</v>
      </c>
      <c r="O13" s="13" t="n">
        <v>0.008626277434167086</v>
      </c>
    </row>
    <row r="14">
      <c r="A14" s="5" t="n">
        <v>46304</v>
      </c>
      <c r="B14" s="6" t="n">
        <v>0.4239583333333333</v>
      </c>
      <c r="C14" s="25" t="inlineStr">
        <is>
          <t>Garanti BBVA</t>
        </is>
      </c>
      <c r="D14" s="8" t="n">
        <v>48.368</v>
      </c>
      <c r="E14" s="8" t="n">
        <v>49.718</v>
      </c>
      <c r="F14" s="8" t="n">
        <v>1.35</v>
      </c>
      <c r="G14" s="9" t="n">
        <v>0.0279110155474694</v>
      </c>
      <c r="H14" s="10" t="n">
        <v>54.293</v>
      </c>
      <c r="I14" s="10" t="n">
        <v>55.808</v>
      </c>
      <c r="J14" s="10" t="n">
        <v>1.515</v>
      </c>
      <c r="K14" s="11" t="n">
        <v>0.02790414970622364</v>
      </c>
      <c r="L14" s="12" t="n">
        <v>6534.15</v>
      </c>
      <c r="M14" s="12" t="n">
        <v>6736.51</v>
      </c>
      <c r="N14" s="12" t="n">
        <v>202.36</v>
      </c>
      <c r="O14" s="13" t="n">
        <v>0.0309695981879816</v>
      </c>
    </row>
    <row r="15">
      <c r="A15" s="5" t="n">
        <v>46304</v>
      </c>
      <c r="B15" s="6" t="n">
        <v>0.4239583333333333</v>
      </c>
      <c r="C15" s="26" t="inlineStr">
        <is>
          <t>Getirfinans</t>
        </is>
      </c>
      <c r="D15" s="8" t="n">
        <v>48.8936</v>
      </c>
      <c r="E15" s="8" t="n">
        <v>49.52</v>
      </c>
      <c r="F15" s="8" t="n">
        <v>0.6264</v>
      </c>
      <c r="G15" s="9" t="n">
        <v>0.01281149271070242</v>
      </c>
      <c r="H15" s="10" t="n">
        <v>54.8977</v>
      </c>
      <c r="I15" s="10" t="n">
        <v>55.5824</v>
      </c>
      <c r="J15" s="10" t="n">
        <v>0.6847</v>
      </c>
      <c r="K15" s="11" t="n">
        <v>0.01247228936731411</v>
      </c>
      <c r="L15" s="12" t="n">
        <v>6599.17</v>
      </c>
      <c r="M15" s="12" t="n">
        <v>6656.06</v>
      </c>
      <c r="N15" s="12" t="n">
        <v>56.89</v>
      </c>
      <c r="O15" s="13" t="n">
        <v>0.00862078109822902</v>
      </c>
    </row>
    <row r="16">
      <c r="A16" s="5" t="n">
        <v>46304</v>
      </c>
      <c r="B16" s="6" t="n">
        <v>0.4239583333333333</v>
      </c>
      <c r="C16" s="27" t="inlineStr">
        <is>
          <t>Halkbank</t>
        </is>
      </c>
      <c r="D16" s="8" t="n">
        <v>48.7825</v>
      </c>
      <c r="E16" s="8" t="n">
        <v>49.7725</v>
      </c>
      <c r="F16" s="8" t="n">
        <v>0.99</v>
      </c>
      <c r="G16" s="9" t="n">
        <v>0.02029416286578179</v>
      </c>
      <c r="H16" s="10" t="n">
        <v>54.7681</v>
      </c>
      <c r="I16" s="10" t="n">
        <v>55.8796</v>
      </c>
      <c r="J16" s="10" t="n">
        <v>1.1115</v>
      </c>
      <c r="K16" s="11" t="n">
        <v>0.02029466057796418</v>
      </c>
      <c r="L16" s="12" t="n">
        <v>6535.85</v>
      </c>
      <c r="M16" s="12" t="n">
        <v>6735.89</v>
      </c>
      <c r="N16" s="12" t="n">
        <v>200.04</v>
      </c>
      <c r="O16" s="13" t="n">
        <v>0.03060657756833465</v>
      </c>
    </row>
    <row r="17">
      <c r="A17" s="5" t="n">
        <v>46304</v>
      </c>
      <c r="B17" s="6" t="n">
        <v>0.4239583333333333</v>
      </c>
      <c r="C17" s="28" t="inlineStr">
        <is>
          <t>Harem</t>
        </is>
      </c>
      <c r="D17" s="8" t="n">
        <v>49.161</v>
      </c>
      <c r="E17" s="8" t="n">
        <v>49.239</v>
      </c>
      <c r="F17" s="8" t="n">
        <v>0.078</v>
      </c>
      <c r="G17" s="9" t="n">
        <v>0.00158662354305242</v>
      </c>
      <c r="H17" s="10" t="n">
        <v>55.073</v>
      </c>
      <c r="I17" s="10" t="n">
        <v>55.248</v>
      </c>
      <c r="J17" s="10" t="n">
        <v>0.175</v>
      </c>
      <c r="K17" s="11" t="n">
        <v>0.003177600639151671</v>
      </c>
      <c r="L17" s="12" t="n">
        <v>6596.17</v>
      </c>
      <c r="M17" s="12" t="n">
        <v>6673.65</v>
      </c>
      <c r="N17" s="12" t="n">
        <v>77.48</v>
      </c>
      <c r="O17" s="13" t="n">
        <v>0.01174621030082609</v>
      </c>
    </row>
    <row r="18">
      <c r="A18" s="5" t="n">
        <v>46304</v>
      </c>
      <c r="B18" s="6" t="n">
        <v>0.4239583333333333</v>
      </c>
      <c r="C18" s="29" t="inlineStr">
        <is>
          <t>Hayat Finans</t>
        </is>
      </c>
      <c r="D18" s="8" t="n">
        <v>49.1941</v>
      </c>
      <c r="E18" s="8" t="n">
        <v>49.3778</v>
      </c>
      <c r="F18" s="8" t="n">
        <v>0.1837</v>
      </c>
      <c r="G18" s="9" t="n">
        <v>0.003734187636322242</v>
      </c>
      <c r="H18" s="10" t="n">
        <v>55.1773</v>
      </c>
      <c r="I18" s="10" t="n">
        <v>55.4027</v>
      </c>
      <c r="J18" s="10" t="n">
        <v>0.2254</v>
      </c>
      <c r="K18" s="11" t="n">
        <v>0.004085013221016613</v>
      </c>
      <c r="L18" s="12" t="n">
        <v>6610.39</v>
      </c>
      <c r="M18" s="12" t="n">
        <v>6657.09</v>
      </c>
      <c r="N18" s="12" t="n">
        <v>46.7</v>
      </c>
      <c r="O18" s="13" t="n">
        <v>0.007064636125856417</v>
      </c>
    </row>
    <row r="19">
      <c r="A19" s="5" t="n">
        <v>46304</v>
      </c>
      <c r="B19" s="6" t="n">
        <v>0.4239583333333333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6508.01</v>
      </c>
      <c r="M19" s="12" t="n">
        <v>6699.44</v>
      </c>
      <c r="N19" s="12" t="n">
        <v>191.43</v>
      </c>
      <c r="O19" s="13" t="n">
        <v>0.02941452148967196</v>
      </c>
    </row>
    <row r="20">
      <c r="A20" s="5" t="n">
        <v>46304</v>
      </c>
      <c r="B20" s="6" t="n">
        <v>0.4239583333333333</v>
      </c>
      <c r="C20" s="31" t="inlineStr">
        <is>
          <t>HSBC</t>
        </is>
      </c>
      <c r="D20" s="8" t="n">
        <v>48.7057</v>
      </c>
      <c r="E20" s="8" t="n">
        <v>49.611</v>
      </c>
      <c r="F20" s="8" t="n">
        <v>0.9053</v>
      </c>
      <c r="G20" s="9" t="n">
        <v>0.01858714688424558</v>
      </c>
      <c r="H20" s="10" t="n">
        <v>54.6187</v>
      </c>
      <c r="I20" s="10" t="n">
        <v>55.7011</v>
      </c>
      <c r="J20" s="10" t="n">
        <v>1.0824</v>
      </c>
      <c r="K20" s="11" t="n">
        <v>0.01981738855007534</v>
      </c>
      <c r="L20" s="12" t="n">
        <v>6533.69</v>
      </c>
      <c r="M20" s="12" t="n">
        <v>6982.09</v>
      </c>
      <c r="N20" s="12" t="n">
        <v>448.4</v>
      </c>
      <c r="O20" s="13" t="n">
        <v>0.06862890648316648</v>
      </c>
    </row>
    <row r="21">
      <c r="A21" s="5" t="n">
        <v>46304</v>
      </c>
      <c r="B21" s="6" t="n">
        <v>0.4239583333333333</v>
      </c>
      <c r="C21" s="32" t="inlineStr">
        <is>
          <t>ING Bank</t>
        </is>
      </c>
      <c r="D21" s="8" t="n">
        <v>48.6613</v>
      </c>
      <c r="E21" s="8" t="n">
        <v>49.6678</v>
      </c>
      <c r="F21" s="8" t="n">
        <v>1.0065</v>
      </c>
      <c r="G21" s="9" t="n">
        <v>0.02068378773275683</v>
      </c>
      <c r="H21" s="10" t="n">
        <v>54.6698</v>
      </c>
      <c r="I21" s="10" t="n">
        <v>55.684</v>
      </c>
      <c r="J21" s="10" t="n">
        <v>1.0142</v>
      </c>
      <c r="K21" s="11" t="n">
        <v>0.01855137571383104</v>
      </c>
      <c r="L21" s="12" t="n">
        <v>6470.95</v>
      </c>
      <c r="M21" s="12" t="n">
        <v>6774.45</v>
      </c>
      <c r="N21" s="12" t="n">
        <v>303.5</v>
      </c>
      <c r="O21" s="13" t="n">
        <v>0.04690192321065686</v>
      </c>
    </row>
    <row r="22">
      <c r="A22" s="5" t="n">
        <v>46304</v>
      </c>
      <c r="B22" s="6" t="n">
        <v>0.4239583333333333</v>
      </c>
      <c r="C22" s="33" t="inlineStr">
        <is>
          <t>İş Bankası</t>
        </is>
      </c>
      <c r="D22" s="8" t="n">
        <v>48.5754</v>
      </c>
      <c r="E22" s="8" t="n">
        <v>49.7576</v>
      </c>
      <c r="F22" s="8" t="n">
        <v>1.1822</v>
      </c>
      <c r="G22" s="9" t="n">
        <v>0.02433742182256863</v>
      </c>
      <c r="H22" s="10" t="n">
        <v>54.5258</v>
      </c>
      <c r="I22" s="10" t="n">
        <v>55.8629</v>
      </c>
      <c r="J22" s="10" t="n">
        <v>1.3371</v>
      </c>
      <c r="K22" s="11" t="n">
        <v>0.02452233621514953</v>
      </c>
      <c r="L22" s="12" t="n">
        <v>6524.21</v>
      </c>
      <c r="M22" s="12" t="n">
        <v>6703.74</v>
      </c>
      <c r="N22" s="12" t="n">
        <v>179.53</v>
      </c>
      <c r="O22" s="13" t="n">
        <v>0.02751750786685284</v>
      </c>
    </row>
    <row r="23">
      <c r="A23" s="5" t="n">
        <v>46304</v>
      </c>
      <c r="B23" s="6" t="n">
        <v>0.4239583333333333</v>
      </c>
      <c r="C23" s="34" t="inlineStr">
        <is>
          <t>Kapalıçarşı</t>
        </is>
      </c>
      <c r="D23" s="8" t="n">
        <v>49.18</v>
      </c>
      <c r="E23" s="8" t="n">
        <v>49.19</v>
      </c>
      <c r="F23" s="8" t="n">
        <v>0.01</v>
      </c>
      <c r="G23" s="9" t="n">
        <v>0.000203334688897926</v>
      </c>
      <c r="H23" s="10" t="n">
        <v>54.95</v>
      </c>
      <c r="I23" s="10" t="n">
        <v>55</v>
      </c>
      <c r="J23" s="10" t="n">
        <v>0.05</v>
      </c>
      <c r="K23" s="11" t="n">
        <v>0.0009099181073703366</v>
      </c>
      <c r="L23" s="12" t="n">
        <v>6539.21</v>
      </c>
      <c r="M23" s="12" t="n">
        <v>6545.48</v>
      </c>
      <c r="N23" s="12" t="n">
        <v>6.27</v>
      </c>
      <c r="O23" s="13" t="n">
        <v>0.000958831418474097</v>
      </c>
    </row>
    <row r="24">
      <c r="A24" s="5" t="n">
        <v>46304</v>
      </c>
      <c r="B24" s="6" t="n">
        <v>0.4239583333333333</v>
      </c>
      <c r="C24" s="35" t="inlineStr">
        <is>
          <t>Kuveyt Türk</t>
        </is>
      </c>
      <c r="D24" s="8" t="n">
        <v>48.5228</v>
      </c>
      <c r="E24" s="8" t="n">
        <v>49.5111</v>
      </c>
      <c r="F24" s="8" t="n">
        <v>0.9883</v>
      </c>
      <c r="G24" s="9" t="n">
        <v>0.02036774464787687</v>
      </c>
      <c r="H24" s="10" t="n">
        <v>54.479</v>
      </c>
      <c r="I24" s="10" t="n">
        <v>55.589</v>
      </c>
      <c r="J24" s="10" t="n">
        <v>1.11</v>
      </c>
      <c r="K24" s="11" t="n">
        <v>0.02037482332641936</v>
      </c>
      <c r="L24" s="12" t="n">
        <v>6485.49</v>
      </c>
      <c r="M24" s="12" t="n">
        <v>6657.95</v>
      </c>
      <c r="N24" s="12" t="n">
        <v>172.46</v>
      </c>
      <c r="O24" s="13" t="n">
        <v>0.02659166847840333</v>
      </c>
    </row>
    <row r="25">
      <c r="A25" s="5" t="n">
        <v>46304</v>
      </c>
      <c r="B25" s="6" t="n">
        <v>0.4239583333333333</v>
      </c>
      <c r="C25" s="36" t="inlineStr">
        <is>
          <t>Merkez Bankası</t>
        </is>
      </c>
      <c r="D25" s="8" t="n">
        <v>49.1267</v>
      </c>
      <c r="E25" s="8" t="n">
        <v>49.2152</v>
      </c>
      <c r="F25" s="8" t="n">
        <v>0.0885</v>
      </c>
      <c r="G25" s="9" t="n">
        <v>0.001801464376805281</v>
      </c>
      <c r="H25" s="10" t="n">
        <v>54.9548</v>
      </c>
      <c r="I25" s="10" t="n">
        <v>55.0538</v>
      </c>
      <c r="J25" s="10" t="n">
        <v>0.099</v>
      </c>
      <c r="K25" s="11" t="n">
        <v>0.001801480489420396</v>
      </c>
      <c r="L25" s="12" t="n"/>
      <c r="M25" s="12" t="n"/>
      <c r="N25" s="12" t="n"/>
      <c r="O25" s="13" t="n"/>
    </row>
    <row r="26">
      <c r="A26" s="5" t="n">
        <v>46304</v>
      </c>
      <c r="B26" s="6" t="n">
        <v>0.4239583333333333</v>
      </c>
      <c r="C26" s="37" t="inlineStr">
        <is>
          <t>Misyon Bank</t>
        </is>
      </c>
      <c r="D26" s="8" t="n">
        <v>49.1105</v>
      </c>
      <c r="E26" s="8" t="n">
        <v>49.2121</v>
      </c>
      <c r="F26" s="8" t="n">
        <v>0.1016</v>
      </c>
      <c r="G26" s="9" t="n">
        <v>0.002068804023579479</v>
      </c>
      <c r="H26" s="10" t="n">
        <v>55.122</v>
      </c>
      <c r="I26" s="10" t="n">
        <v>55.2724</v>
      </c>
      <c r="J26" s="10" t="n">
        <v>0.1504</v>
      </c>
      <c r="K26" s="11" t="n">
        <v>0.002728493160625521</v>
      </c>
      <c r="L26" s="12" t="n">
        <v>6577.03</v>
      </c>
      <c r="M26" s="12" t="n">
        <v>6611.05</v>
      </c>
      <c r="N26" s="12" t="n">
        <v>34.02</v>
      </c>
      <c r="O26" s="13" t="n">
        <v>0.005172547487239681</v>
      </c>
    </row>
    <row r="27">
      <c r="A27" s="5" t="n">
        <v>46304</v>
      </c>
      <c r="B27" s="6" t="n">
        <v>0.4239583333333333</v>
      </c>
      <c r="C27" s="38" t="inlineStr">
        <is>
          <t>Odacı</t>
        </is>
      </c>
      <c r="D27" s="8" t="n">
        <v>49.132</v>
      </c>
      <c r="E27" s="8" t="n">
        <v>49.297</v>
      </c>
      <c r="F27" s="8" t="n">
        <v>0.165</v>
      </c>
      <c r="G27" s="9" t="n">
        <v>0.003358300089554669</v>
      </c>
      <c r="H27" s="10" t="n">
        <v>55.056</v>
      </c>
      <c r="I27" s="10" t="n">
        <v>55.285</v>
      </c>
      <c r="J27" s="10" t="n">
        <v>0.229</v>
      </c>
      <c r="K27" s="11" t="n">
        <v>0.004159401336820692</v>
      </c>
      <c r="L27" s="12" t="n">
        <v>6620</v>
      </c>
      <c r="M27" s="12" t="n">
        <v>6662</v>
      </c>
      <c r="N27" s="12" t="n">
        <v>42</v>
      </c>
      <c r="O27" s="13" t="n">
        <v>0.006344410876132931</v>
      </c>
    </row>
    <row r="28">
      <c r="A28" s="5" t="n">
        <v>46304</v>
      </c>
      <c r="B28" s="6" t="n">
        <v>0.4239583333333333</v>
      </c>
      <c r="C28" s="39" t="inlineStr">
        <is>
          <t>Odeabank</t>
        </is>
      </c>
      <c r="D28" s="8" t="n">
        <v>48.7055</v>
      </c>
      <c r="E28" s="8" t="n">
        <v>49.7055</v>
      </c>
      <c r="F28" s="8" t="n">
        <v>1</v>
      </c>
      <c r="G28" s="9" t="n">
        <v>0.02053156214390572</v>
      </c>
      <c r="H28" s="10" t="n">
        <v>54.692</v>
      </c>
      <c r="I28" s="10" t="n">
        <v>55.782</v>
      </c>
      <c r="J28" s="10" t="n">
        <v>1.09</v>
      </c>
      <c r="K28" s="11" t="n">
        <v>0.01992978863453522</v>
      </c>
      <c r="L28" s="12" t="n">
        <v>6588.09</v>
      </c>
      <c r="M28" s="12" t="n">
        <v>6688.09</v>
      </c>
      <c r="N28" s="12" t="n">
        <v>100</v>
      </c>
      <c r="O28" s="13" t="n">
        <v>0.01517890617766303</v>
      </c>
    </row>
    <row r="29">
      <c r="A29" s="5" t="n">
        <v>46304</v>
      </c>
      <c r="B29" s="6" t="n">
        <v>0.4239583333333333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6507.9</v>
      </c>
      <c r="M29" s="12" t="n">
        <v>6685.96</v>
      </c>
      <c r="N29" s="12" t="n">
        <v>178.06</v>
      </c>
      <c r="O29" s="13" t="n">
        <v>0.02736059251064091</v>
      </c>
    </row>
    <row r="30">
      <c r="A30" s="5" t="n">
        <v>46304</v>
      </c>
      <c r="B30" s="6" t="n">
        <v>0.4239583333333333</v>
      </c>
      <c r="C30" s="41" t="inlineStr">
        <is>
          <t>QNB Finansbank</t>
        </is>
      </c>
      <c r="D30" s="8" t="n">
        <v>48.4055</v>
      </c>
      <c r="E30" s="8" t="n">
        <v>49.9255</v>
      </c>
      <c r="F30" s="8" t="n">
        <v>1.52</v>
      </c>
      <c r="G30" s="9" t="n">
        <v>0.03140139033787483</v>
      </c>
      <c r="H30" s="10" t="n">
        <v>54.2356</v>
      </c>
      <c r="I30" s="10" t="n">
        <v>56.1791</v>
      </c>
      <c r="J30" s="10" t="n">
        <v>1.9435</v>
      </c>
      <c r="K30" s="11" t="n">
        <v>0.03583439659559404</v>
      </c>
      <c r="L30" s="12" t="n">
        <v>6481.08</v>
      </c>
      <c r="M30" s="12" t="n">
        <v>6714.05</v>
      </c>
      <c r="N30" s="12" t="n">
        <v>232.97</v>
      </c>
      <c r="O30" s="13" t="n">
        <v>0.0359461694655829</v>
      </c>
    </row>
    <row r="31">
      <c r="A31" s="5" t="n">
        <v>46304</v>
      </c>
      <c r="B31" s="6" t="n">
        <v>0.4239583333333333</v>
      </c>
      <c r="C31" s="42" t="inlineStr">
        <is>
          <t>TOM Bank Hadi</t>
        </is>
      </c>
      <c r="D31" s="8" t="n">
        <v>49.1046</v>
      </c>
      <c r="E31" s="8" t="n">
        <v>49.4004</v>
      </c>
      <c r="F31" s="8" t="n">
        <v>0.2958</v>
      </c>
      <c r="G31" s="9" t="n">
        <v>0.00602387556359282</v>
      </c>
      <c r="H31" s="10" t="n">
        <v>55.1269</v>
      </c>
      <c r="I31" s="10" t="n">
        <v>55.459</v>
      </c>
      <c r="J31" s="10" t="n">
        <v>0.3321</v>
      </c>
      <c r="K31" s="11" t="n">
        <v>0.006024282156261281</v>
      </c>
      <c r="L31" s="12" t="n">
        <v>6589.11</v>
      </c>
      <c r="M31" s="12" t="n">
        <v>6648.65</v>
      </c>
      <c r="N31" s="12" t="n">
        <v>59.54</v>
      </c>
      <c r="O31" s="13" t="n">
        <v>0.00903612172205351</v>
      </c>
    </row>
    <row r="32">
      <c r="A32" s="5" t="n">
        <v>46304</v>
      </c>
      <c r="B32" s="6" t="n">
        <v>0.4239583333333333</v>
      </c>
      <c r="C32" s="43" t="inlineStr">
        <is>
          <t>Türkiye Finans</t>
        </is>
      </c>
      <c r="D32" s="8" t="n">
        <v>48.7548</v>
      </c>
      <c r="E32" s="8" t="n">
        <v>49.5665</v>
      </c>
      <c r="F32" s="8" t="n">
        <v>0.8117</v>
      </c>
      <c r="G32" s="9" t="n">
        <v>0.0166486171617974</v>
      </c>
      <c r="H32" s="10" t="n">
        <v>54.7425</v>
      </c>
      <c r="I32" s="10" t="n">
        <v>55.6044</v>
      </c>
      <c r="J32" s="10" t="n">
        <v>0.8619</v>
      </c>
      <c r="K32" s="11" t="n">
        <v>0.01574462255103439</v>
      </c>
      <c r="L32" s="12" t="n">
        <v>6529.07</v>
      </c>
      <c r="M32" s="12" t="n">
        <v>6726.63</v>
      </c>
      <c r="N32" s="12" t="n">
        <v>197.56</v>
      </c>
      <c r="O32" s="13" t="n">
        <v>0.03025852073878822</v>
      </c>
    </row>
    <row r="33">
      <c r="A33" s="5" t="n">
        <v>46304</v>
      </c>
      <c r="B33" s="6" t="n">
        <v>0.4239583333333333</v>
      </c>
      <c r="C33" s="44" t="inlineStr">
        <is>
          <t>Vakıf Katılım</t>
        </is>
      </c>
      <c r="D33" s="8" t="n">
        <v>49.0676</v>
      </c>
      <c r="E33" s="8" t="n">
        <v>49.2746</v>
      </c>
      <c r="F33" s="8" t="n">
        <v>0.207</v>
      </c>
      <c r="G33" s="9" t="n">
        <v>0.00421866975356447</v>
      </c>
      <c r="H33" s="10" t="n">
        <v>55.0822</v>
      </c>
      <c r="I33" s="10" t="n">
        <v>55.3042</v>
      </c>
      <c r="J33" s="10" t="n">
        <v>0.222</v>
      </c>
      <c r="K33" s="11" t="n">
        <v>0.004030340109872155</v>
      </c>
      <c r="L33" s="12" t="n">
        <v>6571.29</v>
      </c>
      <c r="M33" s="12" t="n">
        <v>6624.07</v>
      </c>
      <c r="N33" s="12" t="n">
        <v>52.78</v>
      </c>
      <c r="O33" s="13" t="n">
        <v>0.008031908498940086</v>
      </c>
    </row>
    <row r="34">
      <c r="A34" s="5" t="n">
        <v>46304</v>
      </c>
      <c r="B34" s="6" t="n">
        <v>0.4239583333333333</v>
      </c>
      <c r="C34" s="45" t="inlineStr">
        <is>
          <t>Vakıfbank</t>
        </is>
      </c>
      <c r="D34" s="8" t="n">
        <v>48.7958</v>
      </c>
      <c r="E34" s="8" t="n">
        <v>49.7795</v>
      </c>
      <c r="F34" s="8" t="n">
        <v>0.9837</v>
      </c>
      <c r="G34" s="9" t="n">
        <v>0.02015952192606741</v>
      </c>
      <c r="H34" s="10" t="n">
        <v>54.7639</v>
      </c>
      <c r="I34" s="10" t="n">
        <v>55.8694</v>
      </c>
      <c r="J34" s="10" t="n">
        <v>1.1055</v>
      </c>
      <c r="K34" s="11" t="n">
        <v>0.02018665580793187</v>
      </c>
      <c r="L34" s="12" t="n">
        <v>6554.54</v>
      </c>
      <c r="M34" s="12" t="n">
        <v>6697.14</v>
      </c>
      <c r="N34" s="12" t="n">
        <v>142.6</v>
      </c>
      <c r="O34" s="13" t="n">
        <v>0.02175591269562776</v>
      </c>
    </row>
    <row r="35">
      <c r="A35" s="5" t="n">
        <v>46304</v>
      </c>
      <c r="B35" s="6" t="n">
        <v>0.4239583333333333</v>
      </c>
      <c r="C35" s="46" t="inlineStr">
        <is>
          <t>Venüs</t>
        </is>
      </c>
      <c r="D35" s="8" t="n">
        <v>49.169</v>
      </c>
      <c r="E35" s="8" t="n">
        <v>49.306</v>
      </c>
      <c r="F35" s="8" t="n">
        <v>0.137</v>
      </c>
      <c r="G35" s="9" t="n">
        <v>0.002786308446378816</v>
      </c>
      <c r="H35" s="10" t="n">
        <v>55.094</v>
      </c>
      <c r="I35" s="10" t="n">
        <v>55.326</v>
      </c>
      <c r="J35" s="10" t="n">
        <v>0.232</v>
      </c>
      <c r="K35" s="11" t="n">
        <v>0.004210984862235452</v>
      </c>
      <c r="L35" s="12" t="n"/>
      <c r="M35" s="12" t="n"/>
      <c r="N35" s="12" t="n"/>
      <c r="O35" s="13" t="n"/>
    </row>
    <row r="36">
      <c r="A36" s="5" t="n">
        <v>46304</v>
      </c>
      <c r="B36" s="6" t="n">
        <v>0.4239583333333333</v>
      </c>
      <c r="C36" s="47" t="inlineStr">
        <is>
          <t>Yapıkredi</t>
        </is>
      </c>
      <c r="D36" s="8" t="n">
        <v>48.67</v>
      </c>
      <c r="E36" s="8" t="n">
        <v>49.67</v>
      </c>
      <c r="F36" s="8" t="n">
        <v>1</v>
      </c>
      <c r="G36" s="9" t="n">
        <v>0.02054653790836244</v>
      </c>
      <c r="H36" s="10" t="n">
        <v>54.61</v>
      </c>
      <c r="I36" s="10" t="n">
        <v>55.73</v>
      </c>
      <c r="J36" s="10" t="n">
        <v>1.12</v>
      </c>
      <c r="K36" s="11" t="n">
        <v>0.0205090642739425</v>
      </c>
      <c r="L36" s="12" t="n">
        <v>6522.12</v>
      </c>
      <c r="M36" s="12" t="n">
        <v>6723.45</v>
      </c>
      <c r="N36" s="12" t="n">
        <v>201.33</v>
      </c>
      <c r="O36" s="13" t="n">
        <v>0.03086879726223989</v>
      </c>
    </row>
    <row r="37">
      <c r="A37" s="5" t="n">
        <v>46304</v>
      </c>
      <c r="B37" s="6" t="n">
        <v>0.4239583333333333</v>
      </c>
      <c r="C37" s="48" t="inlineStr">
        <is>
          <t>Ziraat Bankası</t>
        </is>
      </c>
      <c r="D37" s="8" t="n">
        <v>48.7985</v>
      </c>
      <c r="E37" s="8" t="n">
        <v>49.7858</v>
      </c>
      <c r="F37" s="8" t="n">
        <v>0.9873</v>
      </c>
      <c r="G37" s="9" t="n">
        <v>0.02023217926780536</v>
      </c>
      <c r="H37" s="10" t="n">
        <v>54.7689</v>
      </c>
      <c r="I37" s="10" t="n">
        <v>55.8769</v>
      </c>
      <c r="J37" s="10" t="n">
        <v>1.108</v>
      </c>
      <c r="K37" s="11" t="n">
        <v>0.02023045925698709</v>
      </c>
      <c r="L37" s="12" t="n">
        <v>6591.45</v>
      </c>
      <c r="M37" s="12" t="n">
        <v>6724.54</v>
      </c>
      <c r="N37" s="12" t="n">
        <v>133.09</v>
      </c>
      <c r="O37" s="13" t="n">
        <v>0.02019130843744548</v>
      </c>
    </row>
    <row r="38">
      <c r="A38" s="5" t="n">
        <v>46304</v>
      </c>
      <c r="B38" s="6" t="n">
        <v>0.4239583333333333</v>
      </c>
      <c r="C38" s="49" t="inlineStr">
        <is>
          <t>Ziraat Dinamik</t>
        </is>
      </c>
      <c r="D38" s="8" t="n">
        <v>48.8473</v>
      </c>
      <c r="E38" s="8" t="n">
        <v>49.512</v>
      </c>
      <c r="F38" s="8" t="n">
        <v>0.6647</v>
      </c>
      <c r="G38" s="9" t="n">
        <v>0.01360771219698939</v>
      </c>
      <c r="H38" s="10" t="n">
        <v>54.7682</v>
      </c>
      <c r="I38" s="10" t="n">
        <v>55.5689</v>
      </c>
      <c r="J38" s="10" t="n">
        <v>0.8007</v>
      </c>
      <c r="K38" s="11" t="n">
        <v>0.01461979761978667</v>
      </c>
      <c r="L38" s="12" t="n">
        <v>6558.5</v>
      </c>
      <c r="M38" s="12" t="n">
        <v>6690.92</v>
      </c>
      <c r="N38" s="12" t="n">
        <v>132.42</v>
      </c>
      <c r="O38" s="13" t="n">
        <v>0.02019059236105817</v>
      </c>
    </row>
    <row r="39">
      <c r="A39" s="5" t="n">
        <v>46304</v>
      </c>
      <c r="B39" s="6" t="n">
        <v>0.4239583333333333</v>
      </c>
      <c r="C39" s="50" t="inlineStr">
        <is>
          <t>Ziraat Katılım</t>
        </is>
      </c>
      <c r="D39" s="8" t="n">
        <v>48.8021</v>
      </c>
      <c r="E39" s="8" t="n">
        <v>49.8207</v>
      </c>
      <c r="F39" s="8" t="n">
        <v>1.0186</v>
      </c>
      <c r="G39" s="9" t="n">
        <v>0.02087205263707914</v>
      </c>
      <c r="H39" s="10" t="n">
        <v>54.7457</v>
      </c>
      <c r="I39" s="10" t="n">
        <v>55.9431</v>
      </c>
      <c r="J39" s="10" t="n">
        <v>1.1974</v>
      </c>
      <c r="K39" s="11" t="n">
        <v>0.02187203743855682</v>
      </c>
      <c r="L39" s="12" t="n">
        <v>6577.82</v>
      </c>
      <c r="M39" s="12" t="n">
        <v>6786.6</v>
      </c>
      <c r="N39" s="12" t="n">
        <v>208.78</v>
      </c>
      <c r="O39" s="13" t="n">
        <v>0.03173999896622285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</hyperlinks>
  <pageMargins left="0.75" right="0.75" top="1" bottom="1" header="0.5" footer="0.5"/>
  <tableParts count="1">
    <tablePart xmlns:r="http://schemas.openxmlformats.org/officeDocument/2006/relationships" r:id="rId4636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46304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0.4239583333333333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0.02023217926780536</v>
      </c>
      <c r="O5" s="73" t="inlineStr">
        <is>
          <t>Ziraat Bankası</t>
        </is>
      </c>
      <c r="P5" s="74" t="n">
        <v>48.7985</v>
      </c>
      <c r="Q5" s="74" t="n">
        <v>49.7858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0.02023045925698709</v>
      </c>
      <c r="O6" s="73" t="inlineStr">
        <is>
          <t>Ziraat Bankası</t>
        </is>
      </c>
      <c r="P6" s="74" t="n">
        <v>54.7689</v>
      </c>
      <c r="Q6" s="74" t="n">
        <v>55.8769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0.02019130843744548</v>
      </c>
      <c r="O7" s="73" t="inlineStr">
        <is>
          <t>Ziraat Bankası</t>
        </is>
      </c>
      <c r="P7" s="74" t="n">
        <v>6591.45</v>
      </c>
      <c r="Q7" s="74" t="n">
        <v>6724.54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0.03101448534811269</v>
      </c>
      <c r="I15" s="69" t="n">
        <v>0.03101285064581575</v>
      </c>
      <c r="J15" s="70" t="n">
        <v>0.0417685927877266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0.03430353739359182</v>
      </c>
      <c r="I16" s="69" t="n">
        <v>0.03437561643760044</v>
      </c>
      <c r="J16" s="70" t="n">
        <v>0.04626237394980423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0.02833485306391465</v>
      </c>
      <c r="I17" s="69" t="n">
        <v>0.02729185861481412</v>
      </c>
      <c r="J17" s="70" t="n">
        <v>0.04260990686572542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0.0292638232636986</v>
      </c>
      <c r="I18" s="69" t="n">
        <v>0.02926421125548317</v>
      </c>
      <c r="J18" s="70" t="n">
        <v>0.04785775457702986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0.03128347084699335</v>
      </c>
      <c r="I19" s="69" t="n">
        <v>0.03140608907183801</v>
      </c>
      <c r="J19" s="70" t="n">
        <v>0.05097391002796382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0.03101448534811269</v>
      </c>
      <c r="V4" s="55" t="n">
        <v>0.03430353739359182</v>
      </c>
      <c r="W4" s="55" t="n">
        <v>0.02833485306391465</v>
      </c>
      <c r="X4" s="55" t="n">
        <v>0.0292638232636986</v>
      </c>
      <c r="Y4" s="55" t="n">
        <v>0.03128347084699335</v>
      </c>
      <c r="Z4" s="55" t="n">
        <v>0.03101285064581575</v>
      </c>
      <c r="AA4" s="55" t="n">
        <v>0.03437561643760044</v>
      </c>
      <c r="AB4" s="55" t="n">
        <v>0.02729185861481412</v>
      </c>
      <c r="AC4" s="55" t="n">
        <v>0.02926421125548317</v>
      </c>
      <c r="AD4" s="55" t="n">
        <v>0.03140608907183801</v>
      </c>
      <c r="AE4" s="55" t="n">
        <v>0.0417685927877266</v>
      </c>
      <c r="AF4" s="55" t="n">
        <v>0.04626237394980423</v>
      </c>
      <c r="AG4" s="55" t="n">
        <v>0.04260990686572542</v>
      </c>
      <c r="AH4" s="55" t="n">
        <v>0.04785775457702986</v>
      </c>
      <c r="AI4" s="55" t="n">
        <v>0.05097391002796382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2026-10-09T07:10:50Z</dcterms:created>
  <dcterms:modified xsi:type="dcterms:W3CDTF">2026-10-09T07:10:51Z</dcterms:modified>
</cp:coreProperties>
</file>