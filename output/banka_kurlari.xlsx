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'GRAFIK_VERILERI'!$B$2:$B$19</f>
              <numCache>
                <formatCode>0.00%</formatCode>
                <ptCount val="1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'GRAFIK_VERILERI'!$C$2:$C$19</f>
              <numCache>
                <formatCode>0.00%</formatCode>
                <ptCount val="1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'GRAFIK_VERILERI'!$D$2:$D$19</f>
              <numCache>
                <formatCode>0.00%</formatCode>
                <ptCount val="1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'GRAFIK_VERILERI'!$E$2:$E$19</f>
              <numCache>
                <formatCode>0.00%</formatCode>
                <ptCount val="1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'GRAFIK_VERILERI'!$F$2:$F$19</f>
              <numCache>
                <formatCode>0.00%</formatCode>
                <ptCount val="1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220101791232"/>
          <min val="0.0122708466205814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'GRAFIK_VERILERI'!$G$2:$G$19</f>
              <numCache>
                <formatCode>0.00%</formatCode>
                <ptCount val="1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'GRAFIK_VERILERI'!$H$2:$H$19</f>
              <numCache>
                <formatCode>0.00%</formatCode>
                <ptCount val="1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'GRAFIK_VERILERI'!$I$2:$I$19</f>
              <numCache>
                <formatCode>0.00%</formatCode>
                <ptCount val="1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'GRAFIK_VERILERI'!$J$2:$J$19</f>
              <numCache>
                <formatCode>0.00%</formatCode>
                <ptCount val="1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'GRAFIK_VERILERI'!$K$2:$K$19</f>
              <numCache>
                <formatCode>0.00%</formatCode>
                <ptCount val="1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8244564025581"/>
          <min val="0.0118112855248088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'GRAFIK_VERILERI'!$L$2:$L$19</f>
              <numCache>
                <formatCode>0.00%</formatCode>
                <ptCount val="1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'GRAFIK_VERILERI'!$M$2:$M$19</f>
              <numCache>
                <formatCode>0.00%</formatCode>
                <ptCount val="1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'GRAFIK_VERILERI'!$N$2:$N$19</f>
              <numCache>
                <formatCode>0.00%</formatCode>
                <ptCount val="1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'GRAFIK_VERILERI'!$O$2:$O$19</f>
              <numCache>
                <formatCode>0.00%</formatCode>
                <ptCount val="1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'GRAFIK_VERILERI'!$P$2:$P$19</f>
              <numCache>
                <formatCode>0.00%</formatCode>
                <ptCount val="1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0.03235319895369669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0.03666224172341365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0.02988531956702259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0.03184390429394082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0.03315449184552913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6583475662981"/>
          <min val="0.027226991498812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0.03235414860959061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0.03680473571172309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0.02791060328882945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0.0318439594938221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0.03326820087578499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7948363408189"/>
          <min val="0.0243798797655356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0.04656173393183845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0.04999644496651617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0.04326007878741844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0.05576209616235917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0.05669893943286385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945399383759"/>
          <min val="0.0344903664633805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'GRAFIK_VERILERI'!$B$2:$B$19</f>
              <numCache>
                <formatCode>0.00%</formatCode>
                <ptCount val="1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9760558441679"/>
          <min val="0.0253980054095667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'GRAFIK_VERILERI'!$G$2:$G$19</f>
              <numCache>
                <formatCode>0.00%</formatCode>
                <ptCount val="1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620260808356"/>
          <min val="0.0253858761123143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'GRAFIK_VERILERI'!$L$2:$L$19</f>
              <numCache>
                <formatCode>0.00%</formatCode>
                <ptCount val="1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273544689831"/>
          <min val="0.0301381824306386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'GRAFIK_VERILERI'!$C$2:$C$19</f>
              <numCache>
                <formatCode>0.00%</formatCode>
                <ptCount val="1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4897238663347"/>
          <min val="0.0223237159935211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'GRAFIK_VERILERI'!$H$2:$H$19</f>
              <numCache>
                <formatCode>0.00%</formatCode>
                <ptCount val="1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6315625402209"/>
          <min val="0.0223593333147410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'GRAFIK_VERILERI'!$M$2:$M$19</f>
              <numCache>
                <formatCode>0.00%</formatCode>
                <ptCount val="1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7995746823361"/>
          <min val="0.0260372946133625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'GRAFIK_VERILERI'!$D$2:$D$19</f>
              <numCache>
                <formatCode>0.00%</formatCode>
                <ptCount val="1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5446994564567"/>
          <min val="0.0108689250069770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'GRAFIK_VERILERI'!$I$2:$I$19</f>
              <numCache>
                <formatCode>0.00%</formatCode>
                <ptCount val="1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2039948040076"/>
          <min val="0.0115417816759562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'GRAFIK_VERILERI'!$N$2:$N$19</f>
              <numCache>
                <formatCode>0.00%</formatCode>
                <ptCount val="1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294818895646342"/>
          <min val="0.0171696925287207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'GRAFIK_VERILERI'!$E$2:$E$19</f>
              <numCache>
                <formatCode>0.00%</formatCode>
                <ptCount val="1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'GRAFIK_VERILERI'!$J$2:$J$19</f>
              <numCache>
                <formatCode>0.00%</formatCode>
                <ptCount val="1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'GRAFIK_VERILERI'!$O$2:$O$19</f>
              <numCache>
                <formatCode>0.00%</formatCode>
                <ptCount val="1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'GRAFIK_VERILERI'!$F$2:$F$19</f>
              <numCache>
                <formatCode>0.00%</formatCode>
                <ptCount val="1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68208195189"/>
          <min val="0.0179412138666701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'GRAFIK_VERILERI'!$K$2:$K$19</f>
              <numCache>
                <formatCode>0.00%</formatCode>
                <ptCount val="1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'GRAFIK_VERILERI'!$A$2:$A$19</f>
              <strCache>
                <ptCount val="1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</strCache>
            </strRef>
          </cat>
          <val>
            <numRef>
              <f>'GRAFIK_VERILERI'!$P$2:$P$19</f>
              <numCache>
                <formatCode>0.00%</formatCode>
                <ptCount val="1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4506125945"/>
          <min val="0.00627167274168756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945" headerRowCount="1">
  <autoFilter ref="A1:N194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table" Target="/xl/tables/table2.xml" Id="rId194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46279</v>
      </c>
      <c r="B2" s="6" t="n">
        <v>0.4803472222222222</v>
      </c>
      <c r="C2" s="7" t="inlineStr">
        <is>
          <t>Akbank</t>
        </is>
      </c>
      <c r="D2" s="8" t="n">
        <v>47.826</v>
      </c>
      <c r="E2" s="8" t="n">
        <v>49.176</v>
      </c>
      <c r="F2" s="8" t="n">
        <v>1.35</v>
      </c>
      <c r="G2" s="9" t="n">
        <v>0.02822732404968009</v>
      </c>
      <c r="H2" s="10" t="n">
        <v>55.1674</v>
      </c>
      <c r="I2" s="10" t="n">
        <v>56.7295</v>
      </c>
      <c r="J2" s="10" t="n">
        <v>1.5621</v>
      </c>
      <c r="K2" s="11" t="n">
        <v>0.02831563568339273</v>
      </c>
      <c r="L2" s="12" t="n">
        <v>6562.96</v>
      </c>
      <c r="M2" s="12" t="n">
        <v>6798.48</v>
      </c>
      <c r="N2" s="12" t="n">
        <v>235.52</v>
      </c>
      <c r="O2" s="13" t="n">
        <v>0.03588624644977267</v>
      </c>
    </row>
    <row r="3">
      <c r="A3" s="5" t="n">
        <v>46279</v>
      </c>
      <c r="B3" s="6" t="n">
        <v>0.4803472222222222</v>
      </c>
      <c r="C3" s="14" t="inlineStr">
        <is>
          <t>Albaraka Türk</t>
        </is>
      </c>
      <c r="D3" s="8" t="n">
        <v>48.222</v>
      </c>
      <c r="E3" s="8" t="n">
        <v>49.003</v>
      </c>
      <c r="F3" s="8" t="n">
        <v>0.781</v>
      </c>
      <c r="G3" s="9" t="n">
        <v>0.01619592717017129</v>
      </c>
      <c r="H3" s="10" t="n">
        <v>55.628</v>
      </c>
      <c r="I3" s="10" t="n">
        <v>56.535</v>
      </c>
      <c r="J3" s="10" t="n">
        <v>0.907</v>
      </c>
      <c r="K3" s="11" t="n">
        <v>0.01630473862083842</v>
      </c>
      <c r="L3" s="12" t="n">
        <v>6635.38</v>
      </c>
      <c r="M3" s="12" t="n">
        <v>6771.78</v>
      </c>
      <c r="N3" s="12" t="n">
        <v>136.4</v>
      </c>
      <c r="O3" s="13" t="n">
        <v>0.02055647152084734</v>
      </c>
    </row>
    <row r="4">
      <c r="A4" s="5" t="n">
        <v>46279</v>
      </c>
      <c r="B4" s="6" t="n">
        <v>0.4803472222222222</v>
      </c>
      <c r="C4" s="15" t="inlineStr">
        <is>
          <t>Alternatif Bank</t>
        </is>
      </c>
      <c r="D4" s="8" t="n">
        <v>48.403</v>
      </c>
      <c r="E4" s="8" t="n">
        <v>48.702</v>
      </c>
      <c r="F4" s="8" t="n">
        <v>0.299</v>
      </c>
      <c r="G4" s="9" t="n">
        <v>0.006177303059727702</v>
      </c>
      <c r="H4" s="10" t="n">
        <v>55.663</v>
      </c>
      <c r="I4" s="10" t="n">
        <v>56.182</v>
      </c>
      <c r="J4" s="10" t="n">
        <v>0.519</v>
      </c>
      <c r="K4" s="11" t="n">
        <v>0.009323967446957585</v>
      </c>
      <c r="L4" s="12" t="n">
        <v>6696.92</v>
      </c>
      <c r="M4" s="12" t="n">
        <v>6763.93</v>
      </c>
      <c r="N4" s="12" t="n">
        <v>67.01000000000001</v>
      </c>
      <c r="O4" s="13" t="n">
        <v>0.01000609235290253</v>
      </c>
    </row>
    <row r="5">
      <c r="A5" s="5" t="n">
        <v>46279</v>
      </c>
      <c r="B5" s="6" t="n">
        <v>0.4803472222222222</v>
      </c>
      <c r="C5" s="16" t="inlineStr">
        <is>
          <t>Altınkaynak</t>
        </is>
      </c>
      <c r="D5" s="8" t="n">
        <v>48.42</v>
      </c>
      <c r="E5" s="8" t="n">
        <v>48.63</v>
      </c>
      <c r="F5" s="8" t="n">
        <v>0.21</v>
      </c>
      <c r="G5" s="9" t="n">
        <v>0.004337050805452293</v>
      </c>
      <c r="H5" s="10" t="n">
        <v>55.7</v>
      </c>
      <c r="I5" s="10" t="n">
        <v>56.098</v>
      </c>
      <c r="J5" s="10" t="n">
        <v>0.398</v>
      </c>
      <c r="K5" s="11" t="n">
        <v>0.007145421903052065</v>
      </c>
      <c r="L5" s="12" t="n">
        <v>6634.6</v>
      </c>
      <c r="M5" s="12" t="n">
        <v>6810</v>
      </c>
      <c r="N5" s="12" t="n">
        <v>175.4</v>
      </c>
      <c r="O5" s="13" t="n">
        <v>0.02643716275284117</v>
      </c>
    </row>
    <row r="6">
      <c r="A6" s="5" t="n">
        <v>46279</v>
      </c>
      <c r="B6" s="6" t="n">
        <v>0.4803472222222222</v>
      </c>
      <c r="C6" s="17" t="inlineStr">
        <is>
          <t>Anadolubank</t>
        </is>
      </c>
      <c r="D6" s="8" t="n">
        <v>47.7776</v>
      </c>
      <c r="E6" s="8" t="n">
        <v>49.0546</v>
      </c>
      <c r="F6" s="8" t="n">
        <v>1.277</v>
      </c>
      <c r="G6" s="9" t="n">
        <v>0.02672800642979137</v>
      </c>
      <c r="H6" s="10" t="n">
        <v>55.2101</v>
      </c>
      <c r="I6" s="10" t="n">
        <v>56.5764</v>
      </c>
      <c r="J6" s="10" t="n">
        <v>1.3663</v>
      </c>
      <c r="K6" s="11" t="n">
        <v>0.02474728355862424</v>
      </c>
      <c r="L6" s="12" t="n">
        <v>6622.81</v>
      </c>
      <c r="M6" s="12" t="n">
        <v>6774.04</v>
      </c>
      <c r="N6" s="12" t="n">
        <v>151.23</v>
      </c>
      <c r="O6" s="13" t="n">
        <v>0.02283471819363684</v>
      </c>
    </row>
    <row r="7">
      <c r="A7" s="5" t="n">
        <v>46279</v>
      </c>
      <c r="B7" s="6" t="n">
        <v>0.4803472222222222</v>
      </c>
      <c r="C7" s="18" t="inlineStr">
        <is>
          <t>CEPTETEB</t>
        </is>
      </c>
      <c r="D7" s="8" t="n">
        <v>47.621</v>
      </c>
      <c r="E7" s="8" t="n">
        <v>49.556</v>
      </c>
      <c r="F7" s="8" t="n">
        <v>1.935</v>
      </c>
      <c r="G7" s="9" t="n">
        <v>0.04063333403330463</v>
      </c>
      <c r="H7" s="10" t="n">
        <v>54.926</v>
      </c>
      <c r="I7" s="10" t="n">
        <v>57.167</v>
      </c>
      <c r="J7" s="10" t="n">
        <v>2.241</v>
      </c>
      <c r="K7" s="11" t="n">
        <v>0.04080034956122783</v>
      </c>
      <c r="L7" s="12" t="n">
        <v>6620.17</v>
      </c>
      <c r="M7" s="12" t="n">
        <v>6815.64</v>
      </c>
      <c r="N7" s="12" t="n">
        <v>195.47</v>
      </c>
      <c r="O7" s="13" t="n">
        <v>0.02952643210068624</v>
      </c>
    </row>
    <row r="8">
      <c r="A8" s="5" t="n">
        <v>46279</v>
      </c>
      <c r="B8" s="6" t="n">
        <v>0.4803472222222222</v>
      </c>
      <c r="C8" s="19" t="inlineStr">
        <is>
          <t>Denizbank</t>
        </is>
      </c>
      <c r="D8" s="8" t="n">
        <v>47.8795</v>
      </c>
      <c r="E8" s="8" t="n">
        <v>49.2796</v>
      </c>
      <c r="F8" s="8" t="n">
        <v>1.4001</v>
      </c>
      <c r="G8" s="9" t="n">
        <v>0.02924216000584802</v>
      </c>
      <c r="H8" s="10" t="n">
        <v>55.2331</v>
      </c>
      <c r="I8" s="10" t="n">
        <v>56.8483</v>
      </c>
      <c r="J8" s="10" t="n">
        <v>1.6152</v>
      </c>
      <c r="K8" s="11" t="n">
        <v>0.02924333416013224</v>
      </c>
      <c r="L8" s="12" t="n">
        <v>6637.39</v>
      </c>
      <c r="M8" s="12" t="n">
        <v>6832.62</v>
      </c>
      <c r="N8" s="12" t="n">
        <v>195.23</v>
      </c>
      <c r="O8" s="13" t="n">
        <v>0.02941367013238637</v>
      </c>
    </row>
    <row r="9">
      <c r="A9" s="5" t="n">
        <v>46279</v>
      </c>
      <c r="B9" s="6" t="n">
        <v>0.4803472222222222</v>
      </c>
      <c r="C9" s="20" t="inlineStr">
        <is>
          <t>DestekBank</t>
        </is>
      </c>
      <c r="D9" s="8" t="n">
        <v>48.5494</v>
      </c>
      <c r="E9" s="8" t="n">
        <v>48.6064</v>
      </c>
      <c r="F9" s="8" t="n">
        <v>0.057</v>
      </c>
      <c r="G9" s="9" t="n">
        <v>0.001174061883360041</v>
      </c>
      <c r="H9" s="10" t="n">
        <v>55.9905</v>
      </c>
      <c r="I9" s="10" t="n">
        <v>56.0737</v>
      </c>
      <c r="J9" s="10" t="n">
        <v>0.0832</v>
      </c>
      <c r="K9" s="11" t="n">
        <v>0.001485966369294791</v>
      </c>
      <c r="L9" s="12" t="n">
        <v>6682.75</v>
      </c>
      <c r="M9" s="12" t="n">
        <v>6711.73</v>
      </c>
      <c r="N9" s="12" t="n">
        <v>28.98</v>
      </c>
      <c r="O9" s="13" t="n">
        <v>0.004336538101829337</v>
      </c>
    </row>
    <row r="10">
      <c r="A10" s="5" t="n">
        <v>46279</v>
      </c>
      <c r="B10" s="6" t="n">
        <v>0.4803472222222222</v>
      </c>
      <c r="C10" s="21" t="inlineStr">
        <is>
          <t>Dünya Katılım</t>
        </is>
      </c>
      <c r="D10" s="8" t="n">
        <v>48.5623</v>
      </c>
      <c r="E10" s="8" t="n">
        <v>48.6012</v>
      </c>
      <c r="F10" s="8" t="n">
        <v>0.0389</v>
      </c>
      <c r="G10" s="9" t="n">
        <v>0.0008010329000067954</v>
      </c>
      <c r="H10" s="10" t="n">
        <v>55.9676</v>
      </c>
      <c r="I10" s="10" t="n">
        <v>56.0819</v>
      </c>
      <c r="J10" s="10" t="n">
        <v>0.1143</v>
      </c>
      <c r="K10" s="11" t="n">
        <v>0.002042253017817451</v>
      </c>
      <c r="L10" s="12" t="n">
        <v>6682.88</v>
      </c>
      <c r="M10" s="12" t="n">
        <v>6714.76</v>
      </c>
      <c r="N10" s="12" t="n">
        <v>31.88</v>
      </c>
      <c r="O10" s="13" t="n">
        <v>0.004770398391112813</v>
      </c>
    </row>
    <row r="11">
      <c r="A11" s="5" t="n">
        <v>46279</v>
      </c>
      <c r="B11" s="6" t="n">
        <v>0.4803472222222222</v>
      </c>
      <c r="C11" s="22" t="inlineStr">
        <is>
          <t>Emlak Katılım</t>
        </is>
      </c>
      <c r="D11" s="8" t="n">
        <v>48.2475</v>
      </c>
      <c r="E11" s="8" t="n">
        <v>49.4931</v>
      </c>
      <c r="F11" s="8" t="n">
        <v>1.2456</v>
      </c>
      <c r="G11" s="9" t="n">
        <v>0.02581688170371522</v>
      </c>
      <c r="H11" s="10" t="n">
        <v>55.5683</v>
      </c>
      <c r="I11" s="10" t="n">
        <v>56.8471</v>
      </c>
      <c r="J11" s="10" t="n">
        <v>1.2788</v>
      </c>
      <c r="K11" s="11" t="n">
        <v>0.02301312079009075</v>
      </c>
      <c r="L11" s="12" t="n">
        <v>6640.51</v>
      </c>
      <c r="M11" s="12" t="n">
        <v>6748.7</v>
      </c>
      <c r="N11" s="12" t="n">
        <v>108.19</v>
      </c>
      <c r="O11" s="13" t="n">
        <v>0.01629242332290743</v>
      </c>
    </row>
    <row r="12">
      <c r="A12" s="5" t="n">
        <v>46279</v>
      </c>
      <c r="B12" s="6" t="n">
        <v>0.4803472222222222</v>
      </c>
      <c r="C12" s="23" t="inlineStr">
        <is>
          <t>Enpara</t>
        </is>
      </c>
      <c r="D12" s="8" t="n">
        <v>48.1725</v>
      </c>
      <c r="E12" s="8" t="n">
        <v>49.0225</v>
      </c>
      <c r="F12" s="8" t="n">
        <v>0.85</v>
      </c>
      <c r="G12" s="9" t="n">
        <v>0.0176449218952722</v>
      </c>
      <c r="H12" s="10" t="n">
        <v>55.4788</v>
      </c>
      <c r="I12" s="10" t="n">
        <v>56.6372</v>
      </c>
      <c r="J12" s="10" t="n">
        <v>1.1584</v>
      </c>
      <c r="K12" s="11" t="n">
        <v>0.02088004787414292</v>
      </c>
      <c r="L12" s="12" t="n">
        <v>6634.8</v>
      </c>
      <c r="M12" s="12" t="n">
        <v>6789.29</v>
      </c>
      <c r="N12" s="12" t="n">
        <v>154.49</v>
      </c>
      <c r="O12" s="13" t="n">
        <v>0.02328480135045518</v>
      </c>
    </row>
    <row r="13">
      <c r="A13" s="5" t="n">
        <v>46279</v>
      </c>
      <c r="B13" s="6" t="n">
        <v>0.4803472222222222</v>
      </c>
      <c r="C13" s="24" t="inlineStr">
        <is>
          <t>Fibabanka</t>
        </is>
      </c>
      <c r="D13" s="8" t="n">
        <v>48.3231</v>
      </c>
      <c r="E13" s="8" t="n">
        <v>48.93</v>
      </c>
      <c r="F13" s="8" t="n">
        <v>0.6069</v>
      </c>
      <c r="G13" s="9" t="n">
        <v>0.01255921081222024</v>
      </c>
      <c r="H13" s="10" t="n">
        <v>55.7597</v>
      </c>
      <c r="I13" s="10" t="n">
        <v>56.4213</v>
      </c>
      <c r="J13" s="10" t="n">
        <v>0.6616</v>
      </c>
      <c r="K13" s="11" t="n">
        <v>0.01186520013558179</v>
      </c>
      <c r="L13" s="12" t="n">
        <v>6707.13</v>
      </c>
      <c r="M13" s="12" t="n">
        <v>6761.3</v>
      </c>
      <c r="N13" s="12" t="n">
        <v>54.17</v>
      </c>
      <c r="O13" s="13" t="n">
        <v>0.008076479805818583</v>
      </c>
    </row>
    <row r="14">
      <c r="A14" s="5" t="n">
        <v>46279</v>
      </c>
      <c r="B14" s="6" t="n">
        <v>0.4803472222222222</v>
      </c>
      <c r="C14" s="25" t="inlineStr">
        <is>
          <t>Garanti BBVA</t>
        </is>
      </c>
      <c r="D14" s="8" t="n">
        <v>47.779</v>
      </c>
      <c r="E14" s="8" t="n">
        <v>49.129</v>
      </c>
      <c r="F14" s="8" t="n">
        <v>1.35</v>
      </c>
      <c r="G14" s="9" t="n">
        <v>0.02825509114883108</v>
      </c>
      <c r="H14" s="10" t="n">
        <v>55.123</v>
      </c>
      <c r="I14" s="10" t="n">
        <v>56.68</v>
      </c>
      <c r="J14" s="10" t="n">
        <v>1.557</v>
      </c>
      <c r="K14" s="11" t="n">
        <v>0.02824592275456706</v>
      </c>
      <c r="L14" s="12" t="n">
        <v>6605.9</v>
      </c>
      <c r="M14" s="12" t="n">
        <v>6849.65</v>
      </c>
      <c r="N14" s="12" t="n">
        <v>243.75</v>
      </c>
      <c r="O14" s="13" t="n">
        <v>0.03689883286153287</v>
      </c>
    </row>
    <row r="15">
      <c r="A15" s="5" t="n">
        <v>46279</v>
      </c>
      <c r="B15" s="6" t="n">
        <v>0.4803472222222222</v>
      </c>
      <c r="C15" s="26" t="inlineStr">
        <is>
          <t>Getirfinans</t>
        </is>
      </c>
      <c r="D15" s="8" t="n">
        <v>48.3231</v>
      </c>
      <c r="E15" s="8" t="n">
        <v>48.9302</v>
      </c>
      <c r="F15" s="8" t="n">
        <v>0.6071</v>
      </c>
      <c r="G15" s="9" t="n">
        <v>0.01256334961954014</v>
      </c>
      <c r="H15" s="10" t="n">
        <v>55.7562</v>
      </c>
      <c r="I15" s="10" t="n">
        <v>56.417</v>
      </c>
      <c r="J15" s="10" t="n">
        <v>0.6608000000000001</v>
      </c>
      <c r="K15" s="11" t="n">
        <v>0.01185159677309429</v>
      </c>
      <c r="L15" s="12" t="n">
        <v>6707.98</v>
      </c>
      <c r="M15" s="12" t="n">
        <v>6762.21</v>
      </c>
      <c r="N15" s="12" t="n">
        <v>54.23</v>
      </c>
      <c r="O15" s="13" t="n">
        <v>0.008084400967206223</v>
      </c>
    </row>
    <row r="16">
      <c r="A16" s="5" t="n">
        <v>46279</v>
      </c>
      <c r="B16" s="6" t="n">
        <v>0.4803472222222222</v>
      </c>
      <c r="C16" s="27" t="inlineStr">
        <is>
          <t>Halkbank</t>
        </is>
      </c>
      <c r="D16" s="8" t="n">
        <v>48.1923</v>
      </c>
      <c r="E16" s="8" t="n">
        <v>49.1722</v>
      </c>
      <c r="F16" s="8" t="n">
        <v>0.9799</v>
      </c>
      <c r="G16" s="9" t="n">
        <v>0.02033312375628472</v>
      </c>
      <c r="H16" s="10" t="n">
        <v>55.5995</v>
      </c>
      <c r="I16" s="10" t="n">
        <v>56.73</v>
      </c>
      <c r="J16" s="10" t="n">
        <v>1.1305</v>
      </c>
      <c r="K16" s="11" t="n">
        <v>0.02033291666291963</v>
      </c>
      <c r="L16" s="12" t="n">
        <v>6634.87</v>
      </c>
      <c r="M16" s="12" t="n">
        <v>6838.16</v>
      </c>
      <c r="N16" s="12" t="n">
        <v>203.29</v>
      </c>
      <c r="O16" s="13" t="n">
        <v>0.03063963574267469</v>
      </c>
    </row>
    <row r="17">
      <c r="A17" s="5" t="n">
        <v>46279</v>
      </c>
      <c r="B17" s="6" t="n">
        <v>0.4803472222222222</v>
      </c>
      <c r="C17" s="28" t="inlineStr">
        <is>
          <t>Harem</t>
        </is>
      </c>
      <c r="D17" s="8" t="n">
        <v>48.538</v>
      </c>
      <c r="E17" s="8" t="n">
        <v>48.592</v>
      </c>
      <c r="F17" s="8" t="n">
        <v>0.054</v>
      </c>
      <c r="G17" s="9" t="n">
        <v>0.001112530388561539</v>
      </c>
      <c r="H17" s="10" t="n">
        <v>55.842</v>
      </c>
      <c r="I17" s="10" t="n">
        <v>56.004</v>
      </c>
      <c r="J17" s="10" t="n">
        <v>0.162</v>
      </c>
      <c r="K17" s="11" t="n">
        <v>0.002901042226281294</v>
      </c>
      <c r="L17" s="12" t="n">
        <v>6675.62</v>
      </c>
      <c r="M17" s="12" t="n">
        <v>6751.08</v>
      </c>
      <c r="N17" s="12" t="n">
        <v>75.45999999999999</v>
      </c>
      <c r="O17" s="13" t="n">
        <v>0.01130381897112178</v>
      </c>
    </row>
    <row r="18">
      <c r="A18" s="5" t="n">
        <v>46279</v>
      </c>
      <c r="B18" s="6" t="n">
        <v>0.4803472222222222</v>
      </c>
      <c r="C18" s="29" t="inlineStr">
        <is>
          <t>Hayat Finans</t>
        </is>
      </c>
      <c r="D18" s="8" t="n">
        <v>48.5428</v>
      </c>
      <c r="E18" s="8" t="n">
        <v>48.69</v>
      </c>
      <c r="F18" s="8" t="n">
        <v>0.1472</v>
      </c>
      <c r="G18" s="9" t="n">
        <v>0.003032375553120133</v>
      </c>
      <c r="H18" s="10" t="n">
        <v>55.9832</v>
      </c>
      <c r="I18" s="10" t="n">
        <v>56.1547</v>
      </c>
      <c r="J18" s="10" t="n">
        <v>0.1715</v>
      </c>
      <c r="K18" s="11" t="n">
        <v>0.003063419025707712</v>
      </c>
      <c r="L18" s="12" t="n">
        <v>6697.06</v>
      </c>
      <c r="M18" s="12" t="n">
        <v>6744.46</v>
      </c>
      <c r="N18" s="12" t="n">
        <v>47.4</v>
      </c>
      <c r="O18" s="13" t="n">
        <v>0.007077732616999101</v>
      </c>
    </row>
    <row r="19">
      <c r="A19" s="5" t="n">
        <v>46279</v>
      </c>
      <c r="B19" s="6" t="n">
        <v>0.4803472222222222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6646.33</v>
      </c>
      <c r="M19" s="12" t="n">
        <v>6840.21</v>
      </c>
      <c r="N19" s="12" t="n">
        <v>193.88</v>
      </c>
      <c r="O19" s="13" t="n">
        <v>0.02917098609307693</v>
      </c>
    </row>
    <row r="20">
      <c r="A20" s="5" t="n">
        <v>46279</v>
      </c>
      <c r="B20" s="6" t="n">
        <v>0.4803472222222222</v>
      </c>
      <c r="C20" s="31" t="inlineStr">
        <is>
          <t>HSBC</t>
        </is>
      </c>
      <c r="D20" s="8" t="n">
        <v>48.1278</v>
      </c>
      <c r="E20" s="8" t="n">
        <v>49.0141</v>
      </c>
      <c r="F20" s="8" t="n">
        <v>0.8863</v>
      </c>
      <c r="G20" s="9" t="n">
        <v>0.01841555192632948</v>
      </c>
      <c r="H20" s="10" t="n">
        <v>55.5209</v>
      </c>
      <c r="I20" s="10" t="n">
        <v>56.5771</v>
      </c>
      <c r="J20" s="10" t="n">
        <v>1.0562</v>
      </c>
      <c r="K20" s="11" t="n">
        <v>0.01902346683861393</v>
      </c>
      <c r="L20" s="12" t="n">
        <v>6639.46</v>
      </c>
      <c r="M20" s="12" t="n">
        <v>7085.17</v>
      </c>
      <c r="N20" s="12" t="n">
        <v>445.71</v>
      </c>
      <c r="O20" s="13" t="n">
        <v>0.06713045940483112</v>
      </c>
    </row>
    <row r="21">
      <c r="A21" s="5" t="n">
        <v>46279</v>
      </c>
      <c r="B21" s="6" t="n">
        <v>0.4803472222222222</v>
      </c>
      <c r="C21" s="32" t="inlineStr">
        <is>
          <t>ING Bank</t>
        </is>
      </c>
      <c r="D21" s="8" t="n">
        <v>48.0764</v>
      </c>
      <c r="E21" s="8" t="n">
        <v>49.0801</v>
      </c>
      <c r="F21" s="8" t="n">
        <v>1.0037</v>
      </c>
      <c r="G21" s="9" t="n">
        <v>0.02087718714379613</v>
      </c>
      <c r="H21" s="10" t="n">
        <v>55.5342</v>
      </c>
      <c r="I21" s="10" t="n">
        <v>56.5479</v>
      </c>
      <c r="J21" s="10" t="n">
        <v>1.0137</v>
      </c>
      <c r="K21" s="11" t="n">
        <v>0.01825361669025573</v>
      </c>
      <c r="L21" s="12" t="n">
        <v>6604.6</v>
      </c>
      <c r="M21" s="12" t="n">
        <v>6856.54</v>
      </c>
      <c r="N21" s="12" t="n">
        <v>251.94</v>
      </c>
      <c r="O21" s="13" t="n">
        <v>0.03814614056869454</v>
      </c>
    </row>
    <row r="22">
      <c r="A22" s="5" t="n">
        <v>46279</v>
      </c>
      <c r="B22" s="6" t="n">
        <v>0.4803472222222222</v>
      </c>
      <c r="C22" s="33" t="inlineStr">
        <is>
          <t>İş Bankası</t>
        </is>
      </c>
      <c r="D22" s="8" t="n">
        <v>48.0006</v>
      </c>
      <c r="E22" s="8" t="n">
        <v>49.1625</v>
      </c>
      <c r="F22" s="8" t="n">
        <v>1.1619</v>
      </c>
      <c r="G22" s="9" t="n">
        <v>0.02420594742565718</v>
      </c>
      <c r="H22" s="10" t="n">
        <v>55.3735</v>
      </c>
      <c r="I22" s="10" t="n">
        <v>56.7137</v>
      </c>
      <c r="J22" s="10" t="n">
        <v>1.3402</v>
      </c>
      <c r="K22" s="11" t="n">
        <v>0.02420291294572314</v>
      </c>
      <c r="L22" s="12" t="n">
        <v>6630.93</v>
      </c>
      <c r="M22" s="12" t="n">
        <v>6813.01</v>
      </c>
      <c r="N22" s="12" t="n">
        <v>182.08</v>
      </c>
      <c r="O22" s="13" t="n">
        <v>0.02745919501487725</v>
      </c>
    </row>
    <row r="23">
      <c r="A23" s="5" t="n">
        <v>46279</v>
      </c>
      <c r="B23" s="6" t="n">
        <v>0.4803472222222222</v>
      </c>
      <c r="C23" s="34" t="inlineStr">
        <is>
          <t>Kapalıçarşı</t>
        </is>
      </c>
      <c r="D23" s="8" t="n">
        <v>48.56</v>
      </c>
      <c r="E23" s="8" t="n">
        <v>48.58</v>
      </c>
      <c r="F23" s="8" t="n">
        <v>0.02</v>
      </c>
      <c r="G23" s="9" t="n">
        <v>0.0004118616144975288</v>
      </c>
      <c r="H23" s="10" t="n">
        <v>55.9</v>
      </c>
      <c r="I23" s="10" t="n">
        <v>55.95</v>
      </c>
      <c r="J23" s="10" t="n">
        <v>0.05</v>
      </c>
      <c r="K23" s="11" t="n">
        <v>0.0008944543828264759</v>
      </c>
      <c r="L23" s="12" t="n">
        <v>6770.5</v>
      </c>
      <c r="M23" s="12" t="n">
        <v>6776.77</v>
      </c>
      <c r="N23" s="12" t="n">
        <v>6.27</v>
      </c>
      <c r="O23" s="13" t="n">
        <v>0.0009260763606823721</v>
      </c>
    </row>
    <row r="24">
      <c r="A24" s="5" t="n">
        <v>46279</v>
      </c>
      <c r="B24" s="6" t="n">
        <v>0.4803472222222222</v>
      </c>
      <c r="C24" s="35" t="inlineStr">
        <is>
          <t>Kuveyt Türk</t>
        </is>
      </c>
      <c r="D24" s="8" t="n">
        <v>48.0661</v>
      </c>
      <c r="E24" s="8" t="n">
        <v>49.0907</v>
      </c>
      <c r="F24" s="8" t="n">
        <v>1.0246</v>
      </c>
      <c r="G24" s="9" t="n">
        <v>0.02131647876569974</v>
      </c>
      <c r="H24" s="10" t="n">
        <v>55.3607</v>
      </c>
      <c r="I24" s="10" t="n">
        <v>56.5403</v>
      </c>
      <c r="J24" s="10" t="n">
        <v>1.1796</v>
      </c>
      <c r="K24" s="11" t="n">
        <v>0.02130753404490911</v>
      </c>
      <c r="L24" s="12" t="n">
        <v>6588.35</v>
      </c>
      <c r="M24" s="12" t="n">
        <v>6763</v>
      </c>
      <c r="N24" s="12" t="n">
        <v>174.65</v>
      </c>
      <c r="O24" s="13" t="n">
        <v>0.02650891346088171</v>
      </c>
    </row>
    <row r="25">
      <c r="A25" s="5" t="n">
        <v>46279</v>
      </c>
      <c r="B25" s="6" t="n">
        <v>0.4803472222222222</v>
      </c>
      <c r="C25" s="36" t="inlineStr">
        <is>
          <t>Merkez Bankası</t>
        </is>
      </c>
      <c r="D25" s="8" t="n">
        <v>48.4305</v>
      </c>
      <c r="E25" s="8" t="n">
        <v>48.5178</v>
      </c>
      <c r="F25" s="8" t="n">
        <v>0.0873</v>
      </c>
      <c r="G25" s="9" t="n">
        <v>0.001802583082974572</v>
      </c>
      <c r="H25" s="10" t="n">
        <v>56.1754</v>
      </c>
      <c r="I25" s="10" t="n">
        <v>56.2766</v>
      </c>
      <c r="J25" s="10" t="n">
        <v>0.1012</v>
      </c>
      <c r="K25" s="11" t="n">
        <v>0.00180150030084343</v>
      </c>
      <c r="L25" s="12" t="n"/>
      <c r="M25" s="12" t="n"/>
      <c r="N25" s="12" t="n"/>
      <c r="O25" s="13" t="n"/>
    </row>
    <row r="26">
      <c r="A26" s="5" t="n">
        <v>46279</v>
      </c>
      <c r="B26" s="6" t="n">
        <v>0.4803472222222222</v>
      </c>
      <c r="C26" s="37" t="inlineStr">
        <is>
          <t>Misyon Bank</t>
        </is>
      </c>
      <c r="D26" s="8" t="n">
        <v>48.5515</v>
      </c>
      <c r="E26" s="8" t="n">
        <v>48.6054</v>
      </c>
      <c r="F26" s="8" t="n">
        <v>0.0539</v>
      </c>
      <c r="G26" s="9" t="n">
        <v>0.001110161375034757</v>
      </c>
      <c r="H26" s="10" t="n">
        <v>55.9925</v>
      </c>
      <c r="I26" s="10" t="n">
        <v>56.0728</v>
      </c>
      <c r="J26" s="10" t="n">
        <v>0.0803</v>
      </c>
      <c r="K26" s="11" t="n">
        <v>0.001434120641157298</v>
      </c>
      <c r="L26" s="12" t="n">
        <v>6686.29</v>
      </c>
      <c r="M26" s="12" t="n">
        <v>6714.4</v>
      </c>
      <c r="N26" s="12" t="n">
        <v>28.11</v>
      </c>
      <c r="O26" s="13" t="n">
        <v>0.004204125157598608</v>
      </c>
    </row>
    <row r="27">
      <c r="A27" s="5" t="n">
        <v>46279</v>
      </c>
      <c r="B27" s="6" t="n">
        <v>0.4803472222222222</v>
      </c>
      <c r="C27" s="38" t="inlineStr">
        <is>
          <t>Odacı</t>
        </is>
      </c>
      <c r="D27" s="8" t="n">
        <v>48.479</v>
      </c>
      <c r="E27" s="8" t="n">
        <v>48.683</v>
      </c>
      <c r="F27" s="8" t="n">
        <v>0.204</v>
      </c>
      <c r="G27" s="9" t="n">
        <v>0.004208007590915655</v>
      </c>
      <c r="H27" s="10" t="n">
        <v>55.808</v>
      </c>
      <c r="I27" s="10" t="n">
        <v>56.078</v>
      </c>
      <c r="J27" s="10" t="n">
        <v>0.27</v>
      </c>
      <c r="K27" s="11" t="n">
        <v>0.004838016055045872</v>
      </c>
      <c r="L27" s="12" t="n">
        <v>6697</v>
      </c>
      <c r="M27" s="12" t="n">
        <v>6738</v>
      </c>
      <c r="N27" s="12" t="n">
        <v>41</v>
      </c>
      <c r="O27" s="13" t="n">
        <v>0.006122144243691206</v>
      </c>
    </row>
    <row r="28">
      <c r="A28" s="5" t="n">
        <v>46279</v>
      </c>
      <c r="B28" s="6" t="n">
        <v>0.4803472222222222</v>
      </c>
      <c r="C28" s="39" t="inlineStr">
        <is>
          <t>Odeabank</t>
        </is>
      </c>
      <c r="D28" s="8" t="n">
        <v>48.0875</v>
      </c>
      <c r="E28" s="8" t="n">
        <v>49.0875</v>
      </c>
      <c r="F28" s="8" t="n">
        <v>1</v>
      </c>
      <c r="G28" s="9" t="n">
        <v>0.02079542500649857</v>
      </c>
      <c r="H28" s="10" t="n">
        <v>55.505</v>
      </c>
      <c r="I28" s="10" t="n">
        <v>56.595</v>
      </c>
      <c r="J28" s="10" t="n">
        <v>1.09</v>
      </c>
      <c r="K28" s="11" t="n">
        <v>0.01963787046212053</v>
      </c>
      <c r="L28" s="12" t="n">
        <v>6682.97</v>
      </c>
      <c r="M28" s="12" t="n">
        <v>6782.97</v>
      </c>
      <c r="N28" s="12" t="n">
        <v>100</v>
      </c>
      <c r="O28" s="13" t="n">
        <v>0.01496340698821033</v>
      </c>
    </row>
    <row r="29">
      <c r="A29" s="5" t="n">
        <v>46279</v>
      </c>
      <c r="B29" s="6" t="n">
        <v>0.4803472222222222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6646.33</v>
      </c>
      <c r="M29" s="12" t="n">
        <v>6826.56</v>
      </c>
      <c r="N29" s="12" t="n">
        <v>180.23</v>
      </c>
      <c r="O29" s="13" t="n">
        <v>0.02711722108291343</v>
      </c>
    </row>
    <row r="30">
      <c r="A30" s="5" t="n">
        <v>46279</v>
      </c>
      <c r="B30" s="6" t="n">
        <v>0.4803472222222222</v>
      </c>
      <c r="C30" s="41" t="inlineStr">
        <is>
          <t>QNB Finansbank</t>
        </is>
      </c>
      <c r="D30" s="8" t="n">
        <v>47.8625</v>
      </c>
      <c r="E30" s="8" t="n">
        <v>49.3825</v>
      </c>
      <c r="F30" s="8" t="n">
        <v>1.52</v>
      </c>
      <c r="G30" s="9" t="n">
        <v>0.03175763907025333</v>
      </c>
      <c r="H30" s="10" t="n">
        <v>55.0935</v>
      </c>
      <c r="I30" s="10" t="n">
        <v>57.0922</v>
      </c>
      <c r="J30" s="10" t="n">
        <v>1.9987</v>
      </c>
      <c r="K30" s="11" t="n">
        <v>0.03627832684436458</v>
      </c>
      <c r="L30" s="12" t="n">
        <v>6588.46</v>
      </c>
      <c r="M30" s="12" t="n">
        <v>6828.09</v>
      </c>
      <c r="N30" s="12" t="n">
        <v>239.63</v>
      </c>
      <c r="O30" s="13" t="n">
        <v>0.03637117019758791</v>
      </c>
    </row>
    <row r="31">
      <c r="A31" s="5" t="n">
        <v>46279</v>
      </c>
      <c r="B31" s="6" t="n">
        <v>0.4803472222222222</v>
      </c>
      <c r="C31" s="42" t="inlineStr">
        <is>
          <t>TOM Bank Hadi</t>
        </is>
      </c>
      <c r="D31" s="8" t="n">
        <v>48.6227</v>
      </c>
      <c r="E31" s="8" t="n">
        <v>48.6227</v>
      </c>
      <c r="F31" s="8" t="n">
        <v>0</v>
      </c>
      <c r="G31" s="9" t="n">
        <v>0</v>
      </c>
      <c r="H31" s="10" t="n">
        <v>56.0885</v>
      </c>
      <c r="I31" s="10" t="n">
        <v>56.0885</v>
      </c>
      <c r="J31" s="10" t="n">
        <v>0</v>
      </c>
      <c r="K31" s="11" t="n">
        <v>0</v>
      </c>
      <c r="L31" s="12" t="n">
        <v>6705.67</v>
      </c>
      <c r="M31" s="12" t="n">
        <v>6705.67</v>
      </c>
      <c r="N31" s="12" t="n">
        <v>0</v>
      </c>
      <c r="O31" s="13" t="n">
        <v>0</v>
      </c>
    </row>
    <row r="32">
      <c r="A32" s="5" t="n">
        <v>46279</v>
      </c>
      <c r="B32" s="6" t="n">
        <v>0.4803472222222222</v>
      </c>
      <c r="C32" s="43" t="inlineStr">
        <is>
          <t>Türkiye Finans</t>
        </is>
      </c>
      <c r="D32" s="8" t="n">
        <v>48.1763</v>
      </c>
      <c r="E32" s="8" t="n">
        <v>48.9784</v>
      </c>
      <c r="F32" s="8" t="n">
        <v>0.8021</v>
      </c>
      <c r="G32" s="9" t="n">
        <v>0.01664926530264881</v>
      </c>
      <c r="H32" s="10" t="n">
        <v>55.6048</v>
      </c>
      <c r="I32" s="10" t="n">
        <v>56.4565</v>
      </c>
      <c r="J32" s="10" t="n">
        <v>0.8517</v>
      </c>
      <c r="K32" s="11" t="n">
        <v>0.01531702299082094</v>
      </c>
      <c r="L32" s="12" t="n">
        <v>6633.53</v>
      </c>
      <c r="M32" s="12" t="n">
        <v>6829.88</v>
      </c>
      <c r="N32" s="12" t="n">
        <v>196.35</v>
      </c>
      <c r="O32" s="13" t="n">
        <v>0.02959962493574311</v>
      </c>
    </row>
    <row r="33">
      <c r="A33" s="5" t="n">
        <v>46279</v>
      </c>
      <c r="B33" s="6" t="n">
        <v>0.4803472222222222</v>
      </c>
      <c r="C33" s="44" t="inlineStr">
        <is>
          <t>Vakıf Katılım</t>
        </is>
      </c>
      <c r="D33" s="8" t="n">
        <v>48.2736</v>
      </c>
      <c r="E33" s="8" t="n">
        <v>48.8872</v>
      </c>
      <c r="F33" s="8" t="n">
        <v>0.6136</v>
      </c>
      <c r="G33" s="9" t="n">
        <v>0.01271088130986709</v>
      </c>
      <c r="H33" s="10" t="n">
        <v>55.6547</v>
      </c>
      <c r="I33" s="10" t="n">
        <v>56.3306</v>
      </c>
      <c r="J33" s="10" t="n">
        <v>0.6758999999999999</v>
      </c>
      <c r="K33" s="11" t="n">
        <v>0.01214452687733471</v>
      </c>
      <c r="L33" s="12" t="n">
        <v>6620.56</v>
      </c>
      <c r="M33" s="12" t="n">
        <v>6781.38</v>
      </c>
      <c r="N33" s="12" t="n">
        <v>160.82</v>
      </c>
      <c r="O33" s="13" t="n">
        <v>0.02429099653201542</v>
      </c>
    </row>
    <row r="34">
      <c r="A34" s="5" t="n">
        <v>46279</v>
      </c>
      <c r="B34" s="6" t="n">
        <v>0.4803472222222222</v>
      </c>
      <c r="C34" s="45" t="inlineStr">
        <is>
          <t>Vakıfbank</t>
        </is>
      </c>
      <c r="D34" s="8" t="n">
        <v>48.2144</v>
      </c>
      <c r="E34" s="8" t="n">
        <v>49.1844</v>
      </c>
      <c r="F34" s="8" t="n">
        <v>0.97</v>
      </c>
      <c r="G34" s="9" t="n">
        <v>0.02011847083029136</v>
      </c>
      <c r="H34" s="10" t="n">
        <v>55.4998</v>
      </c>
      <c r="I34" s="10" t="n">
        <v>56.639</v>
      </c>
      <c r="J34" s="10" t="n">
        <v>1.1392</v>
      </c>
      <c r="K34" s="11" t="n">
        <v>0.02052620009441475</v>
      </c>
      <c r="L34" s="12" t="n">
        <v>6641.11</v>
      </c>
      <c r="M34" s="12" t="n">
        <v>6785.71</v>
      </c>
      <c r="N34" s="12" t="n">
        <v>144.6</v>
      </c>
      <c r="O34" s="13" t="n">
        <v>0.02177346859184684</v>
      </c>
    </row>
    <row r="35">
      <c r="A35" s="5" t="n">
        <v>46279</v>
      </c>
      <c r="B35" s="6" t="n">
        <v>0.4803472222222222</v>
      </c>
      <c r="C35" s="46" t="inlineStr">
        <is>
          <t>Venüs</t>
        </is>
      </c>
      <c r="D35" s="8" t="n">
        <v>48.55</v>
      </c>
      <c r="E35" s="8" t="n">
        <v>48.59</v>
      </c>
      <c r="F35" s="8" t="n">
        <v>0.04</v>
      </c>
      <c r="G35" s="9" t="n">
        <v>0.0008238928939237899</v>
      </c>
      <c r="H35" s="10" t="n">
        <v>55.866</v>
      </c>
      <c r="I35" s="10" t="n">
        <v>55.995</v>
      </c>
      <c r="J35" s="10" t="n">
        <v>0.129</v>
      </c>
      <c r="K35" s="11" t="n">
        <v>0.002309096767264526</v>
      </c>
      <c r="L35" s="12" t="n"/>
      <c r="M35" s="12" t="n"/>
      <c r="N35" s="12" t="n"/>
      <c r="O35" s="13" t="n"/>
    </row>
    <row r="36">
      <c r="A36" s="5" t="n">
        <v>46279</v>
      </c>
      <c r="B36" s="6" t="n">
        <v>0.4803472222222222</v>
      </c>
      <c r="C36" s="47" t="inlineStr">
        <is>
          <t>Yapıkredi</t>
        </is>
      </c>
      <c r="D36" s="8" t="n">
        <v>48.03</v>
      </c>
      <c r="E36" s="8" t="n">
        <v>48.93</v>
      </c>
      <c r="F36" s="8" t="n">
        <v>0.9</v>
      </c>
      <c r="G36" s="9" t="n">
        <v>0.01873828856964397</v>
      </c>
      <c r="H36" s="10" t="n">
        <v>55.41</v>
      </c>
      <c r="I36" s="10" t="n">
        <v>56.43</v>
      </c>
      <c r="J36" s="10" t="n">
        <v>1.02</v>
      </c>
      <c r="K36" s="11" t="n">
        <v>0.018408229561451</v>
      </c>
      <c r="L36" s="12" t="n">
        <v>6617.33</v>
      </c>
      <c r="M36" s="12" t="n">
        <v>6805.89</v>
      </c>
      <c r="N36" s="12" t="n">
        <v>188.56</v>
      </c>
      <c r="O36" s="13" t="n">
        <v>0.02849487633229716</v>
      </c>
    </row>
    <row r="37">
      <c r="A37" s="5" t="n">
        <v>46279</v>
      </c>
      <c r="B37" s="6" t="n">
        <v>0.4803472222222222</v>
      </c>
      <c r="C37" s="48" t="inlineStr">
        <is>
          <t>Ziraat Bankası</t>
        </is>
      </c>
      <c r="D37" s="8" t="n">
        <v>48.2128</v>
      </c>
      <c r="E37" s="8" t="n">
        <v>49.1881</v>
      </c>
      <c r="F37" s="8" t="n">
        <v>0.9752999999999999</v>
      </c>
      <c r="G37" s="9" t="n">
        <v>0.02022906779942256</v>
      </c>
      <c r="H37" s="10" t="n">
        <v>55.6135</v>
      </c>
      <c r="I37" s="10" t="n">
        <v>56.7386</v>
      </c>
      <c r="J37" s="10" t="n">
        <v>1.1251</v>
      </c>
      <c r="K37" s="11" t="n">
        <v>0.02023069938054609</v>
      </c>
      <c r="L37" s="12" t="n">
        <v>6676.02</v>
      </c>
      <c r="M37" s="12" t="n">
        <v>6810.82</v>
      </c>
      <c r="N37" s="12" t="n">
        <v>134.8</v>
      </c>
      <c r="O37" s="13" t="n">
        <v>0.02019167108546709</v>
      </c>
    </row>
    <row r="38">
      <c r="A38" s="5" t="n">
        <v>46279</v>
      </c>
      <c r="B38" s="6" t="n">
        <v>0.4803472222222222</v>
      </c>
      <c r="C38" s="49" t="inlineStr">
        <is>
          <t>Ziraat Dinamik</t>
        </is>
      </c>
      <c r="D38" s="8" t="n">
        <v>48.261</v>
      </c>
      <c r="E38" s="8" t="n">
        <v>48.9176</v>
      </c>
      <c r="F38" s="8" t="n">
        <v>0.6566</v>
      </c>
      <c r="G38" s="9" t="n">
        <v>0.01360518845444562</v>
      </c>
      <c r="H38" s="10" t="n">
        <v>55.6106</v>
      </c>
      <c r="I38" s="10" t="n">
        <v>56.4236</v>
      </c>
      <c r="J38" s="10" t="n">
        <v>0.8129999999999999</v>
      </c>
      <c r="K38" s="11" t="n">
        <v>0.01461951498455331</v>
      </c>
      <c r="L38" s="12" t="n">
        <v>6642.93</v>
      </c>
      <c r="M38" s="12" t="n">
        <v>6777.06</v>
      </c>
      <c r="N38" s="12" t="n">
        <v>134.13</v>
      </c>
      <c r="O38" s="13" t="n">
        <v>0.02019139144925507</v>
      </c>
    </row>
    <row r="39">
      <c r="A39" s="5" t="n">
        <v>46279</v>
      </c>
      <c r="B39" s="6" t="n">
        <v>0.4803472222222222</v>
      </c>
      <c r="C39" s="50" t="inlineStr">
        <is>
          <t>Ziraat Katılım</t>
        </is>
      </c>
      <c r="D39" s="8" t="n">
        <v>48.0899</v>
      </c>
      <c r="E39" s="8" t="n">
        <v>49.0937</v>
      </c>
      <c r="F39" s="8" t="n">
        <v>1.0038</v>
      </c>
      <c r="G39" s="9" t="n">
        <v>0.02087340585029289</v>
      </c>
      <c r="H39" s="10" t="n">
        <v>55.4372</v>
      </c>
      <c r="I39" s="10" t="n">
        <v>56.6499</v>
      </c>
      <c r="J39" s="10" t="n">
        <v>1.2127</v>
      </c>
      <c r="K39" s="11" t="n">
        <v>0.02187520293232703</v>
      </c>
      <c r="L39" s="12" t="n">
        <v>6660.75</v>
      </c>
      <c r="M39" s="12" t="n">
        <v>6872.08</v>
      </c>
      <c r="N39" s="12" t="n">
        <v>211.33</v>
      </c>
      <c r="O39" s="13" t="n">
        <v>0.03172765829673835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</hyperlinks>
  <pageMargins left="0.75" right="0.75" top="1" bottom="1" header="0.5" footer="0.5"/>
  <tableParts count="1">
    <tablePart xmlns:r="http://schemas.openxmlformats.org/officeDocument/2006/relationships" r:id="rId194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0" t="inlineStr">
        <is>
          <t>Döviz ve Altın Kur Takip Özeti</t>
        </is>
      </c>
    </row>
    <row r="3">
      <c r="A3" s="61" t="inlineStr">
        <is>
          <t>SON VERİ ÇEKİMİ</t>
        </is>
      </c>
      <c r="F3" s="61" t="inlineStr">
        <is>
          <t>AYLIK ORTALAMA MAKAS %</t>
        </is>
      </c>
      <c r="L3" s="61" t="inlineStr">
        <is>
          <t>5 BANKADA EN DÜŞÜK GÜNCEL MAKAS</t>
        </is>
      </c>
    </row>
    <row r="4">
      <c r="A4" s="62" t="inlineStr">
        <is>
          <t>Veri tarihi</t>
        </is>
      </c>
      <c r="B4" s="63" t="n"/>
      <c r="C4" s="64" t="n">
        <v>46279</v>
      </c>
      <c r="D4" s="63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2" t="inlineStr">
        <is>
          <t>Çekim saati</t>
        </is>
      </c>
      <c r="B5" s="63" t="n"/>
      <c r="C5" s="65" t="n">
        <v>0.4803472222222222</v>
      </c>
      <c r="D5" s="63" t="n"/>
      <c r="F5" s="63" t="inlineStr">
        <is>
          <t>Ağustos 2026</t>
        </is>
      </c>
      <c r="G5" s="66" t="inlineStr">
        <is>
          <t>Garanti BBVA</t>
        </is>
      </c>
      <c r="H5" s="67" t="n">
        <v>0.03553378696044311</v>
      </c>
      <c r="I5" s="68" t="n">
        <v>0.03553642841103422</v>
      </c>
      <c r="J5" s="69" t="n">
        <v>0.05383117747984287</v>
      </c>
      <c r="L5" s="70" t="inlineStr">
        <is>
          <t>DOLAR</t>
        </is>
      </c>
      <c r="M5" s="63" t="n">
        <v>5</v>
      </c>
      <c r="N5" s="71" t="n">
        <v>0.01873828856964397</v>
      </c>
      <c r="O5" s="72" t="inlineStr">
        <is>
          <t>Yapıkredi</t>
        </is>
      </c>
      <c r="P5" s="73" t="n">
        <v>48.03</v>
      </c>
      <c r="Q5" s="73" t="n">
        <v>48.93</v>
      </c>
    </row>
    <row r="6">
      <c r="A6" s="62" t="inlineStr">
        <is>
          <t>Sağlayıcı sayısı</t>
        </is>
      </c>
      <c r="B6" s="63" t="n"/>
      <c r="C6" s="74" t="n">
        <v>38</v>
      </c>
      <c r="D6" s="63" t="n"/>
      <c r="F6" s="63" t="inlineStr">
        <is>
          <t>Ağustos 2026</t>
        </is>
      </c>
      <c r="G6" s="75" t="inlineStr">
        <is>
          <t>Akbank</t>
        </is>
      </c>
      <c r="H6" s="67" t="n">
        <v>0.04311562150687483</v>
      </c>
      <c r="I6" s="68" t="n">
        <v>0.0432699268677014</v>
      </c>
      <c r="J6" s="69" t="n">
        <v>0.06066925394146307</v>
      </c>
      <c r="L6" s="76" t="inlineStr">
        <is>
          <t>EURO</t>
        </is>
      </c>
      <c r="M6" s="63" t="n">
        <v>5</v>
      </c>
      <c r="N6" s="71" t="n">
        <v>0.018408229561451</v>
      </c>
      <c r="O6" s="72" t="inlineStr">
        <is>
          <t>Yapıkredi</t>
        </is>
      </c>
      <c r="P6" s="73" t="n">
        <v>55.41</v>
      </c>
      <c r="Q6" s="73" t="n">
        <v>56.43</v>
      </c>
    </row>
    <row r="7">
      <c r="A7" s="62" t="inlineStr">
        <is>
          <t>Ürün kaydı</t>
        </is>
      </c>
      <c r="B7" s="63" t="n"/>
      <c r="C7" s="74" t="n">
        <v>108</v>
      </c>
      <c r="D7" s="63" t="n"/>
      <c r="F7" s="63" t="inlineStr">
        <is>
          <t>Ağustos 2026</t>
        </is>
      </c>
      <c r="G7" s="72" t="inlineStr">
        <is>
          <t>Yapıkredi</t>
        </is>
      </c>
      <c r="H7" s="67" t="n">
        <v>0.03847709584999994</v>
      </c>
      <c r="I7" s="68" t="n">
        <v>0.03535742466332828</v>
      </c>
      <c r="J7" s="69" t="n">
        <v>0.0540849048600331</v>
      </c>
      <c r="L7" s="77" t="inlineStr">
        <is>
          <t>GRAM ALTIN</t>
        </is>
      </c>
      <c r="M7" s="63" t="n">
        <v>5</v>
      </c>
      <c r="N7" s="71" t="n">
        <v>0.02019167108546709</v>
      </c>
      <c r="O7" s="78" t="inlineStr">
        <is>
          <t>Ziraat Bankası</t>
        </is>
      </c>
      <c r="P7" s="73" t="n">
        <v>6676.02</v>
      </c>
      <c r="Q7" s="73" t="n">
        <v>6810.82</v>
      </c>
    </row>
    <row r="8">
      <c r="A8" s="62" t="inlineStr">
        <is>
          <t>Hatalı kayıt</t>
        </is>
      </c>
      <c r="B8" s="63" t="n"/>
      <c r="C8" s="74" t="n">
        <v>0</v>
      </c>
      <c r="D8" s="63" t="n"/>
      <c r="F8" s="63" t="inlineStr">
        <is>
          <t>Ağustos 2026</t>
        </is>
      </c>
      <c r="G8" s="78" t="inlineStr">
        <is>
          <t>Ziraat Bankası</t>
        </is>
      </c>
      <c r="H8" s="67" t="n">
        <v>0.04104187506584386</v>
      </c>
      <c r="I8" s="68" t="n">
        <v>0.0514487601107881</v>
      </c>
      <c r="J8" s="69" t="n">
        <v>0.08301204597474589</v>
      </c>
    </row>
    <row r="9">
      <c r="A9" s="62" t="inlineStr">
        <is>
          <t>Kontrol gereken</t>
        </is>
      </c>
      <c r="B9" s="63" t="n"/>
      <c r="C9" s="74" t="n">
        <v>0</v>
      </c>
      <c r="D9" s="63" t="n"/>
      <c r="F9" s="63" t="inlineStr">
        <is>
          <t>Ağustos 2026</t>
        </is>
      </c>
      <c r="G9" s="79" t="inlineStr">
        <is>
          <t>İş Bankası</t>
        </is>
      </c>
      <c r="H9" s="67" t="n">
        <v>0.04760750668842017</v>
      </c>
      <c r="I9" s="68" t="n">
        <v>0.04783493387226885</v>
      </c>
      <c r="J9" s="69" t="n">
        <v>0.1017248276143379</v>
      </c>
    </row>
    <row r="10">
      <c r="F10" s="63" t="inlineStr">
        <is>
          <t>Eylül 2026</t>
        </is>
      </c>
      <c r="G10" s="66" t="inlineStr">
        <is>
          <t>Garanti BBVA</t>
        </is>
      </c>
      <c r="H10" s="67" t="n">
        <v>0.03235319895369669</v>
      </c>
      <c r="I10" s="68" t="n">
        <v>0.03235414860959061</v>
      </c>
      <c r="J10" s="69" t="n">
        <v>0.04656173393183845</v>
      </c>
    </row>
    <row r="11">
      <c r="F11" s="63" t="inlineStr">
        <is>
          <t>Eylül 2026</t>
        </is>
      </c>
      <c r="G11" s="75" t="inlineStr">
        <is>
          <t>Akbank</t>
        </is>
      </c>
      <c r="H11" s="67" t="n">
        <v>0.03666224172341365</v>
      </c>
      <c r="I11" s="68" t="n">
        <v>0.03680473571172309</v>
      </c>
      <c r="J11" s="69" t="n">
        <v>0.04999644496651617</v>
      </c>
    </row>
    <row r="12">
      <c r="F12" s="63" t="inlineStr">
        <is>
          <t>Eylül 2026</t>
        </is>
      </c>
      <c r="G12" s="72" t="inlineStr">
        <is>
          <t>Yapıkredi</t>
        </is>
      </c>
      <c r="H12" s="67" t="n">
        <v>0.02988531956702259</v>
      </c>
      <c r="I12" s="68" t="n">
        <v>0.02791060328882945</v>
      </c>
      <c r="J12" s="69" t="n">
        <v>0.04326007878741844</v>
      </c>
    </row>
    <row r="13">
      <c r="F13" s="63" t="inlineStr">
        <is>
          <t>Eylül 2026</t>
        </is>
      </c>
      <c r="G13" s="78" t="inlineStr">
        <is>
          <t>Ziraat Bankası</t>
        </is>
      </c>
      <c r="H13" s="67" t="n">
        <v>0.03184390429394082</v>
      </c>
      <c r="I13" s="68" t="n">
        <v>0.0318439594938221</v>
      </c>
      <c r="J13" s="69" t="n">
        <v>0.05576209616235917</v>
      </c>
    </row>
    <row r="14">
      <c r="F14" s="63" t="inlineStr">
        <is>
          <t>Eylül 2026</t>
        </is>
      </c>
      <c r="G14" s="79" t="inlineStr">
        <is>
          <t>İş Bankası</t>
        </is>
      </c>
      <c r="H14" s="67" t="n">
        <v>0.03315449184552913</v>
      </c>
      <c r="I14" s="68" t="n">
        <v>0.03326820087578499</v>
      </c>
      <c r="J14" s="69" t="n">
        <v>0.05669893943286385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0.03235319895369669</v>
      </c>
      <c r="V3" s="55" t="n">
        <v>0.03666224172341365</v>
      </c>
      <c r="W3" s="55" t="n">
        <v>0.02988531956702259</v>
      </c>
      <c r="X3" s="55" t="n">
        <v>0.03184390429394082</v>
      </c>
      <c r="Y3" s="55" t="n">
        <v>0.03315449184552913</v>
      </c>
      <c r="Z3" s="55" t="n">
        <v>0.03235414860959061</v>
      </c>
      <c r="AA3" s="55" t="n">
        <v>0.03680473571172309</v>
      </c>
      <c r="AB3" s="55" t="n">
        <v>0.02791060328882945</v>
      </c>
      <c r="AC3" s="55" t="n">
        <v>0.0318439594938221</v>
      </c>
      <c r="AD3" s="55" t="n">
        <v>0.03326820087578499</v>
      </c>
      <c r="AE3" s="55" t="n">
        <v>0.04656173393183845</v>
      </c>
      <c r="AF3" s="55" t="n">
        <v>0.04999644496651617</v>
      </c>
      <c r="AG3" s="55" t="n">
        <v>0.04326007878741844</v>
      </c>
      <c r="AH3" s="55" t="n">
        <v>0.05576209616235917</v>
      </c>
      <c r="AI3" s="55" t="n">
        <v>0.05669893943286385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2026-09-14T08:32:23Z</dcterms:created>
  <dcterms:modified xsi:type="dcterms:W3CDTF">2026-09-14T08:32:24Z</dcterms:modified>
</cp:coreProperties>
</file>