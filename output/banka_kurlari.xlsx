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'GRAFIK_VERILERI'!$B$2:$B$48</f>
              <numCache>
                <formatCode>0.00%</formatCode>
                <ptCount val="4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'GRAFIK_VERILERI'!$C$2:$C$48</f>
              <numCache>
                <formatCode>0.00%</formatCode>
                <ptCount val="4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'GRAFIK_VERILERI'!$D$2:$D$48</f>
              <numCache>
                <formatCode>0.00%</formatCode>
                <ptCount val="4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'GRAFIK_VERILERI'!$E$2:$E$48</f>
              <numCache>
                <formatCode>0.00%</formatCode>
                <ptCount val="4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'GRAFIK_VERILERI'!$F$2:$F$48</f>
              <numCache>
                <formatCode>0.00%</formatCode>
                <ptCount val="4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'GRAFIK_VERILERI'!$G$2:$G$48</f>
              <numCache>
                <formatCode>0.00%</formatCode>
                <ptCount val="4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'GRAFIK_VERILERI'!$H$2:$H$48</f>
              <numCache>
                <formatCode>0.00%</formatCode>
                <ptCount val="4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'GRAFIK_VERILERI'!$I$2:$I$48</f>
              <numCache>
                <formatCode>0.00%</formatCode>
                <ptCount val="4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'GRAFIK_VERILERI'!$J$2:$J$48</f>
              <numCache>
                <formatCode>0.00%</formatCode>
                <ptCount val="4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'GRAFIK_VERILERI'!$K$2:$K$48</f>
              <numCache>
                <formatCode>0.00%</formatCode>
                <ptCount val="4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'GRAFIK_VERILERI'!$L$2:$L$48</f>
              <numCache>
                <formatCode>0.00%</formatCode>
                <ptCount val="4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'GRAFIK_VERILERI'!$M$2:$M$48</f>
              <numCache>
                <formatCode>0.00%</formatCode>
                <ptCount val="4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'GRAFIK_VERILERI'!$N$2:$N$48</f>
              <numCache>
                <formatCode>0.00%</formatCode>
                <ptCount val="4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'GRAFIK_VERILERI'!$O$2:$O$48</f>
              <numCache>
                <formatCode>0.00%</formatCode>
                <ptCount val="4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'GRAFIK_VERILERI'!$P$2:$P$48</f>
              <numCache>
                <formatCode>0.00%</formatCode>
                <ptCount val="4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0.03215463097699486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0.03670754258284642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0.03165348315903595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0.03273766346944402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0.03398575568623928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0.03215486803563167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0.03677180759422051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0.03029424223568543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0.03273827456141638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0.03410613855207646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0.04453063675647969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0.05025078334475736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0.04719697043890013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0.05849822553247207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0.05999468455931875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'GRAFIK_VERILERI'!$B$2:$B$48</f>
              <numCache>
                <formatCode>0.00%</formatCode>
                <ptCount val="4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425227903473"/>
          <min val="0.0248781252418591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'GRAFIK_VERILERI'!$G$2:$G$48</f>
              <numCache>
                <formatCode>0.00%</formatCode>
                <ptCount val="4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918249960446"/>
          <min val="0.024887996763188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'GRAFIK_VERILERI'!$L$2:$L$48</f>
              <numCache>
                <formatCode>0.00%</formatCode>
                <ptCount val="4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184735609747"/>
          <min val="0.0230035109754436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'GRAFIK_VERILERI'!$C$2:$C$48</f>
              <numCache>
                <formatCode>0.00%</formatCode>
                <ptCount val="4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3556461828205"/>
          <min val="0.0218041626036298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'GRAFIK_VERILERI'!$H$2:$H$48</f>
              <numCache>
                <formatCode>0.00%</formatCode>
                <ptCount val="4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6497676903294"/>
          <min val="0.0217484102246760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'GRAFIK_VERILERI'!$M$2:$M$48</f>
              <numCache>
                <formatCode>0.00%</formatCode>
                <ptCount val="4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9152694361668"/>
          <min val="0.025367877761064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'GRAFIK_VERILERI'!$D$2:$D$48</f>
              <numCache>
                <formatCode>0.00%</formatCode>
                <ptCount val="4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'GRAFIK_VERILERI'!$I$2:$I$48</f>
              <numCache>
                <formatCode>0.00%</formatCode>
                <ptCount val="4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'GRAFIK_VERILERI'!$N$2:$N$48</f>
              <numCache>
                <formatCode>0.00%</formatCode>
                <ptCount val="4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'GRAFIK_VERILERI'!$E$2:$E$48</f>
              <numCache>
                <formatCode>0.00%</formatCode>
                <ptCount val="4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'GRAFIK_VERILERI'!$J$2:$J$48</f>
              <numCache>
                <formatCode>0.00%</formatCode>
                <ptCount val="4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'GRAFIK_VERILERI'!$O$2:$O$48</f>
              <numCache>
                <formatCode>0.00%</formatCode>
                <ptCount val="4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'GRAFIK_VERILERI'!$F$2:$F$48</f>
              <numCache>
                <formatCode>0.00%</formatCode>
                <ptCount val="4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'GRAFIK_VERILERI'!$K$2:$K$48</f>
              <numCache>
                <formatCode>0.00%</formatCode>
                <ptCount val="4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'GRAFIK_VERILERI'!$A$2:$A$48</f>
              <strCache>
                <ptCount val="4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</strCache>
            </strRef>
          </cat>
          <val>
            <numRef>
              <f>'GRAFIK_VERILERI'!$P$2:$P$48</f>
              <numCache>
                <formatCode>0.00%</formatCode>
                <ptCount val="4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068" headerRowCount="1">
  <autoFilter ref="A1:N506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table" Target="/xl/tables/table2.xml" Id="rId506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46308</v>
      </c>
      <c r="B2" s="6" t="n">
        <v>0.4286458333333333</v>
      </c>
      <c r="C2" s="7" t="inlineStr">
        <is>
          <t>Akbank</t>
        </is>
      </c>
      <c r="D2" s="8" t="n">
        <v>48.571</v>
      </c>
      <c r="E2" s="8" t="n">
        <v>49.921</v>
      </c>
      <c r="F2" s="8" t="n">
        <v>1.35</v>
      </c>
      <c r="G2" s="9" t="n">
        <v>0.02779436289143728</v>
      </c>
      <c r="H2" s="10" t="n">
        <v>54.3074</v>
      </c>
      <c r="I2" s="10" t="n">
        <v>55.8168</v>
      </c>
      <c r="J2" s="10" t="n">
        <v>1.5094</v>
      </c>
      <c r="K2" s="11" t="n">
        <v>0.027793634016727</v>
      </c>
      <c r="L2" s="12" t="n">
        <v>6475.81</v>
      </c>
      <c r="M2" s="12" t="n">
        <v>6704.59</v>
      </c>
      <c r="N2" s="12" t="n">
        <v>228.78</v>
      </c>
      <c r="O2" s="13" t="n">
        <v>0.0353283990728573</v>
      </c>
    </row>
    <row r="3">
      <c r="A3" s="5" t="n">
        <v>46308</v>
      </c>
      <c r="B3" s="6" t="n">
        <v>0.4286458333333333</v>
      </c>
      <c r="C3" s="14" t="inlineStr">
        <is>
          <t>Albaraka Türk</t>
        </is>
      </c>
      <c r="D3" s="8" t="n">
        <v>48.897</v>
      </c>
      <c r="E3" s="8" t="n">
        <v>49.618</v>
      </c>
      <c r="F3" s="8" t="n">
        <v>0.721</v>
      </c>
      <c r="G3" s="9" t="n">
        <v>0.01474528089657852</v>
      </c>
      <c r="H3" s="10" t="n">
        <v>54.676</v>
      </c>
      <c r="I3" s="10" t="n">
        <v>55.493</v>
      </c>
      <c r="J3" s="10" t="n">
        <v>0.8169999999999999</v>
      </c>
      <c r="K3" s="11" t="n">
        <v>0.01494257078059843</v>
      </c>
      <c r="L3" s="12" t="n">
        <v>6540.56</v>
      </c>
      <c r="M3" s="12" t="n">
        <v>6664.42</v>
      </c>
      <c r="N3" s="12" t="n">
        <v>123.86</v>
      </c>
      <c r="O3" s="13" t="n">
        <v>0.01893721638514133</v>
      </c>
    </row>
    <row r="4">
      <c r="A4" s="5" t="n">
        <v>46308</v>
      </c>
      <c r="B4" s="6" t="n">
        <v>0.4286458333333333</v>
      </c>
      <c r="C4" s="15" t="inlineStr">
        <is>
          <t>Alternatif Bank</t>
        </is>
      </c>
      <c r="D4" s="8" t="n">
        <v>49.153</v>
      </c>
      <c r="E4" s="8" t="n">
        <v>49.442</v>
      </c>
      <c r="F4" s="8" t="n">
        <v>0.289</v>
      </c>
      <c r="G4" s="9" t="n">
        <v>0.005879600431306329</v>
      </c>
      <c r="H4" s="10" t="n">
        <v>54.799</v>
      </c>
      <c r="I4" s="10" t="n">
        <v>55.292</v>
      </c>
      <c r="J4" s="10" t="n">
        <v>0.493</v>
      </c>
      <c r="K4" s="11" t="n">
        <v>0.008996514534936769</v>
      </c>
      <c r="L4" s="12" t="n">
        <v>6609.76</v>
      </c>
      <c r="M4" s="12" t="n">
        <v>6674.92</v>
      </c>
      <c r="N4" s="12" t="n">
        <v>65.16</v>
      </c>
      <c r="O4" s="13" t="n">
        <v>0.009858149161240348</v>
      </c>
    </row>
    <row r="5">
      <c r="A5" s="5" t="n">
        <v>46308</v>
      </c>
      <c r="B5" s="6" t="n">
        <v>0.4286458333333333</v>
      </c>
      <c r="C5" s="16" t="inlineStr">
        <is>
          <t>Altınkaynak</t>
        </is>
      </c>
      <c r="D5" s="8" t="n">
        <v>49.14</v>
      </c>
      <c r="E5" s="8" t="n">
        <v>49.34</v>
      </c>
      <c r="F5" s="8" t="n">
        <v>0.2</v>
      </c>
      <c r="G5" s="9" t="n">
        <v>0.004070004070004071</v>
      </c>
      <c r="H5" s="10" t="n">
        <v>54.847</v>
      </c>
      <c r="I5" s="10" t="n">
        <v>55.181</v>
      </c>
      <c r="J5" s="10" t="n">
        <v>0.334</v>
      </c>
      <c r="K5" s="11" t="n">
        <v>0.006089667620836145</v>
      </c>
      <c r="L5" s="12" t="n">
        <v>6570</v>
      </c>
      <c r="M5" s="12" t="n">
        <v>6705</v>
      </c>
      <c r="N5" s="12" t="n">
        <v>135</v>
      </c>
      <c r="O5" s="13" t="n">
        <v>0.02054794520547945</v>
      </c>
    </row>
    <row r="6">
      <c r="A6" s="5" t="n">
        <v>46308</v>
      </c>
      <c r="B6" s="6" t="n">
        <v>0.4286458333333333</v>
      </c>
      <c r="C6" s="17" t="inlineStr">
        <is>
          <t>Anadolubank</t>
        </is>
      </c>
      <c r="D6" s="8" t="n">
        <v>48.5221</v>
      </c>
      <c r="E6" s="8" t="n">
        <v>49.7996</v>
      </c>
      <c r="F6" s="8" t="n">
        <v>1.2775</v>
      </c>
      <c r="G6" s="9" t="n">
        <v>0.02632820920776306</v>
      </c>
      <c r="H6" s="10" t="n">
        <v>54.3351</v>
      </c>
      <c r="I6" s="10" t="n">
        <v>55.7011</v>
      </c>
      <c r="J6" s="10" t="n">
        <v>1.366</v>
      </c>
      <c r="K6" s="11" t="n">
        <v>0.02514028684956869</v>
      </c>
      <c r="L6" s="12" t="n">
        <v>6533.87</v>
      </c>
      <c r="M6" s="12" t="n">
        <v>6685</v>
      </c>
      <c r="N6" s="12" t="n">
        <v>151.13</v>
      </c>
      <c r="O6" s="13" t="n">
        <v>0.02313024287290687</v>
      </c>
    </row>
    <row r="7">
      <c r="A7" s="5" t="n">
        <v>46308</v>
      </c>
      <c r="B7" s="6" t="n">
        <v>0.4286458333333333</v>
      </c>
      <c r="C7" s="18" t="inlineStr">
        <is>
          <t>CEPTETEB</t>
        </is>
      </c>
      <c r="D7" s="8" t="n">
        <v>48.35</v>
      </c>
      <c r="E7" s="8" t="n">
        <v>50.314</v>
      </c>
      <c r="F7" s="8" t="n">
        <v>1.964</v>
      </c>
      <c r="G7" s="9" t="n">
        <v>0.04062047569803516</v>
      </c>
      <c r="H7" s="10" t="n">
        <v>54.065</v>
      </c>
      <c r="I7" s="10" t="n">
        <v>56.282</v>
      </c>
      <c r="J7" s="10" t="n">
        <v>2.217</v>
      </c>
      <c r="K7" s="11" t="n">
        <v>0.04100619624526033</v>
      </c>
      <c r="L7" s="12" t="n">
        <v>6528.66</v>
      </c>
      <c r="M7" s="12" t="n">
        <v>6727</v>
      </c>
      <c r="N7" s="12" t="n">
        <v>198.34</v>
      </c>
      <c r="O7" s="13" t="n">
        <v>0.03037989418961931</v>
      </c>
    </row>
    <row r="8">
      <c r="A8" s="5" t="n">
        <v>46308</v>
      </c>
      <c r="B8" s="6" t="n">
        <v>0.4286458333333333</v>
      </c>
      <c r="C8" s="19" t="inlineStr">
        <is>
          <t>Denizbank</t>
        </is>
      </c>
      <c r="D8" s="8" t="n">
        <v>48.6241</v>
      </c>
      <c r="E8" s="8" t="n">
        <v>50.0242</v>
      </c>
      <c r="F8" s="8" t="n">
        <v>1.4001</v>
      </c>
      <c r="G8" s="9" t="n">
        <v>0.02879436328898632</v>
      </c>
      <c r="H8" s="10" t="n">
        <v>54.3759</v>
      </c>
      <c r="I8" s="10" t="n">
        <v>55.9466</v>
      </c>
      <c r="J8" s="10" t="n">
        <v>1.5707</v>
      </c>
      <c r="K8" s="11" t="n">
        <v>0.02888595866918984</v>
      </c>
      <c r="L8" s="12" t="n">
        <v>6549.41</v>
      </c>
      <c r="M8" s="12" t="n">
        <v>6738.9</v>
      </c>
      <c r="N8" s="12" t="n">
        <v>189.49</v>
      </c>
      <c r="O8" s="13" t="n">
        <v>0.02893237711488516</v>
      </c>
    </row>
    <row r="9">
      <c r="A9" s="5" t="n">
        <v>46308</v>
      </c>
      <c r="B9" s="6" t="n">
        <v>0.4286458333333333</v>
      </c>
      <c r="C9" s="20" t="inlineStr">
        <is>
          <t>DestekBank</t>
        </is>
      </c>
      <c r="D9" s="8" t="n">
        <v>49.2555</v>
      </c>
      <c r="E9" s="8" t="n">
        <v>49.3896</v>
      </c>
      <c r="F9" s="8" t="n">
        <v>0.1341</v>
      </c>
      <c r="G9" s="9" t="n">
        <v>0.002722538599750282</v>
      </c>
      <c r="H9" s="10" t="n">
        <v>55.0674</v>
      </c>
      <c r="I9" s="10" t="n">
        <v>55.2425</v>
      </c>
      <c r="J9" s="10" t="n">
        <v>0.1751</v>
      </c>
      <c r="K9" s="11" t="n">
        <v>0.003179739737122145</v>
      </c>
      <c r="L9" s="12" t="n">
        <v>6544.9</v>
      </c>
      <c r="M9" s="12" t="n">
        <v>6676.73</v>
      </c>
      <c r="N9" s="12" t="n">
        <v>131.83</v>
      </c>
      <c r="O9" s="13" t="n">
        <v>0.02014240095341411</v>
      </c>
    </row>
    <row r="10">
      <c r="A10" s="5" t="n">
        <v>46308</v>
      </c>
      <c r="B10" s="6" t="n">
        <v>0.4286458333333333</v>
      </c>
      <c r="C10" s="21" t="inlineStr">
        <is>
          <t>Dünya Katılım</t>
        </is>
      </c>
      <c r="D10" s="8" t="n">
        <v>49.2775</v>
      </c>
      <c r="E10" s="8" t="n">
        <v>49.369</v>
      </c>
      <c r="F10" s="8" t="n">
        <v>0.0915</v>
      </c>
      <c r="G10" s="9" t="n">
        <v>0.001856831210998935</v>
      </c>
      <c r="H10" s="10" t="n">
        <v>55.0469</v>
      </c>
      <c r="I10" s="10" t="n">
        <v>55.2429</v>
      </c>
      <c r="J10" s="10" t="n">
        <v>0.196</v>
      </c>
      <c r="K10" s="11" t="n">
        <v>0.003560600142787332</v>
      </c>
      <c r="L10" s="12" t="n">
        <v>6593.85</v>
      </c>
      <c r="M10" s="12" t="n">
        <v>6628.48</v>
      </c>
      <c r="N10" s="12" t="n">
        <v>34.63</v>
      </c>
      <c r="O10" s="13" t="n">
        <v>0.005251863478847714</v>
      </c>
    </row>
    <row r="11">
      <c r="A11" s="5" t="n">
        <v>46308</v>
      </c>
      <c r="B11" s="6" t="n">
        <v>0.4286458333333333</v>
      </c>
      <c r="C11" s="22" t="inlineStr">
        <is>
          <t>Emlak Katılım</t>
        </is>
      </c>
      <c r="D11" s="8" t="n">
        <v>48.9874</v>
      </c>
      <c r="E11" s="8" t="n">
        <v>50.2519</v>
      </c>
      <c r="F11" s="8" t="n">
        <v>1.2645</v>
      </c>
      <c r="G11" s="9" t="n">
        <v>0.02581276001584081</v>
      </c>
      <c r="H11" s="10" t="n">
        <v>54.681</v>
      </c>
      <c r="I11" s="10" t="n">
        <v>55.9447</v>
      </c>
      <c r="J11" s="10" t="n">
        <v>1.2637</v>
      </c>
      <c r="K11" s="11" t="n">
        <v>0.02311040397944442</v>
      </c>
      <c r="L11" s="12" t="n">
        <v>6568.22</v>
      </c>
      <c r="M11" s="12" t="n">
        <v>6643.81</v>
      </c>
      <c r="N11" s="12" t="n">
        <v>75.59</v>
      </c>
      <c r="O11" s="13" t="n">
        <v>0.01150844521042231</v>
      </c>
    </row>
    <row r="12">
      <c r="A12" s="5" t="n">
        <v>46308</v>
      </c>
      <c r="B12" s="6" t="n">
        <v>0.4286458333333333</v>
      </c>
      <c r="C12" s="23" t="inlineStr">
        <is>
          <t>Enpara</t>
        </is>
      </c>
      <c r="D12" s="8" t="n">
        <v>48.8175</v>
      </c>
      <c r="E12" s="8" t="n">
        <v>49.6175</v>
      </c>
      <c r="F12" s="8" t="n">
        <v>0.8</v>
      </c>
      <c r="G12" s="9" t="n">
        <v>0.01638756593434731</v>
      </c>
      <c r="H12" s="10" t="n">
        <v>54.538</v>
      </c>
      <c r="I12" s="10" t="n">
        <v>55.5477</v>
      </c>
      <c r="J12" s="10" t="n">
        <v>1.0097</v>
      </c>
      <c r="K12" s="11" t="n">
        <v>0.01851369687190583</v>
      </c>
      <c r="L12" s="12" t="n">
        <v>6537.8</v>
      </c>
      <c r="M12" s="12" t="n">
        <v>6666.99</v>
      </c>
      <c r="N12" s="12" t="n">
        <v>129.19</v>
      </c>
      <c r="O12" s="13" t="n">
        <v>0.01976046988283521</v>
      </c>
    </row>
    <row r="13">
      <c r="A13" s="5" t="n">
        <v>46308</v>
      </c>
      <c r="B13" s="6" t="n">
        <v>0.4286458333333333</v>
      </c>
      <c r="C13" s="24" t="inlineStr">
        <is>
          <t>Fibabanka</t>
        </is>
      </c>
      <c r="D13" s="8" t="n">
        <v>49.0678</v>
      </c>
      <c r="E13" s="8" t="n">
        <v>49.6749</v>
      </c>
      <c r="F13" s="8" t="n">
        <v>0.6071</v>
      </c>
      <c r="G13" s="9" t="n">
        <v>0.01237267617459923</v>
      </c>
      <c r="H13" s="10" t="n">
        <v>54.8748</v>
      </c>
      <c r="I13" s="10" t="n">
        <v>55.5356</v>
      </c>
      <c r="J13" s="10" t="n">
        <v>0.6608000000000001</v>
      </c>
      <c r="K13" s="11" t="n">
        <v>0.01204195732831828</v>
      </c>
      <c r="L13" s="12" t="n">
        <v>6617.13</v>
      </c>
      <c r="M13" s="12" t="n">
        <v>6671.4</v>
      </c>
      <c r="N13" s="12" t="n">
        <v>54.27</v>
      </c>
      <c r="O13" s="13" t="n">
        <v>0.008201440805908303</v>
      </c>
    </row>
    <row r="14">
      <c r="A14" s="5" t="n">
        <v>46308</v>
      </c>
      <c r="B14" s="6" t="n">
        <v>0.4286458333333333</v>
      </c>
      <c r="C14" s="25" t="inlineStr">
        <is>
          <t>Garanti BBVA</t>
        </is>
      </c>
      <c r="D14" s="8" t="n">
        <v>48.523</v>
      </c>
      <c r="E14" s="8" t="n">
        <v>49.873</v>
      </c>
      <c r="F14" s="8" t="n">
        <v>1.35</v>
      </c>
      <c r="G14" s="9" t="n">
        <v>0.0278218576757414</v>
      </c>
      <c r="H14" s="10" t="n">
        <v>54.256</v>
      </c>
      <c r="I14" s="10" t="n">
        <v>55.766</v>
      </c>
      <c r="J14" s="10" t="n">
        <v>1.51</v>
      </c>
      <c r="K14" s="11" t="n">
        <v>0.02783102329696255</v>
      </c>
      <c r="L14" s="12" t="n">
        <v>6531.04</v>
      </c>
      <c r="M14" s="12" t="n">
        <v>6733.54</v>
      </c>
      <c r="N14" s="12" t="n">
        <v>202.5</v>
      </c>
      <c r="O14" s="13" t="n">
        <v>0.0310057816213038</v>
      </c>
    </row>
    <row r="15">
      <c r="A15" s="5" t="n">
        <v>46308</v>
      </c>
      <c r="B15" s="6" t="n">
        <v>0.4286458333333333</v>
      </c>
      <c r="C15" s="26" t="inlineStr">
        <is>
          <t>Getirfinans</t>
        </is>
      </c>
      <c r="D15" s="8" t="n">
        <v>49.0679</v>
      </c>
      <c r="E15" s="8" t="n">
        <v>49.6751</v>
      </c>
      <c r="F15" s="8" t="n">
        <v>0.6072</v>
      </c>
      <c r="G15" s="9" t="n">
        <v>0.01237468895143261</v>
      </c>
      <c r="H15" s="10" t="n">
        <v>54.8798</v>
      </c>
      <c r="I15" s="10" t="n">
        <v>55.5402</v>
      </c>
      <c r="J15" s="10" t="n">
        <v>0.6604</v>
      </c>
      <c r="K15" s="11" t="n">
        <v>0.01203357155091673</v>
      </c>
      <c r="L15" s="12" t="n">
        <v>6618.63</v>
      </c>
      <c r="M15" s="12" t="n">
        <v>6672.95</v>
      </c>
      <c r="N15" s="12" t="n">
        <v>54.32</v>
      </c>
      <c r="O15" s="13" t="n">
        <v>0.008207136522210789</v>
      </c>
    </row>
    <row r="16">
      <c r="A16" s="5" t="n">
        <v>46308</v>
      </c>
      <c r="B16" s="6" t="n">
        <v>0.4286458333333333</v>
      </c>
      <c r="C16" s="27" t="inlineStr">
        <is>
          <t>Halkbank</t>
        </is>
      </c>
      <c r="D16" s="8" t="n">
        <v>48.9372</v>
      </c>
      <c r="E16" s="8" t="n">
        <v>49.9273</v>
      </c>
      <c r="F16" s="8" t="n">
        <v>0.9901</v>
      </c>
      <c r="G16" s="9" t="n">
        <v>0.02023205250811244</v>
      </c>
      <c r="H16" s="10" t="n">
        <v>54.7265</v>
      </c>
      <c r="I16" s="10" t="n">
        <v>55.8337</v>
      </c>
      <c r="J16" s="10" t="n">
        <v>1.1072</v>
      </c>
      <c r="K16" s="11" t="n">
        <v>0.02023151489680502</v>
      </c>
      <c r="L16" s="12" t="n">
        <v>6548.64</v>
      </c>
      <c r="M16" s="12" t="n">
        <v>6748.67</v>
      </c>
      <c r="N16" s="12" t="n">
        <v>200.03</v>
      </c>
      <c r="O16" s="13" t="n">
        <v>0.0305452735224413</v>
      </c>
    </row>
    <row r="17">
      <c r="A17" s="5" t="n">
        <v>46308</v>
      </c>
      <c r="B17" s="6" t="n">
        <v>0.4286458333333333</v>
      </c>
      <c r="C17" s="28" t="inlineStr">
        <is>
          <t>Harem</t>
        </is>
      </c>
      <c r="D17" s="8" t="n">
        <v>49.239</v>
      </c>
      <c r="E17" s="8" t="n">
        <v>49.321</v>
      </c>
      <c r="F17" s="8" t="n">
        <v>0.082</v>
      </c>
      <c r="G17" s="9" t="n">
        <v>0.001665346574869514</v>
      </c>
      <c r="H17" s="10" t="n">
        <v>54.966</v>
      </c>
      <c r="I17" s="10" t="n">
        <v>55.133</v>
      </c>
      <c r="J17" s="10" t="n">
        <v>0.167</v>
      </c>
      <c r="K17" s="11" t="n">
        <v>0.003038241822217371</v>
      </c>
      <c r="L17" s="12" t="n">
        <v>6586.09</v>
      </c>
      <c r="M17" s="12" t="n">
        <v>6662.89</v>
      </c>
      <c r="N17" s="12" t="n">
        <v>76.8</v>
      </c>
      <c r="O17" s="13" t="n">
        <v>0.01166093995071431</v>
      </c>
    </row>
    <row r="18">
      <c r="A18" s="5" t="n">
        <v>46308</v>
      </c>
      <c r="B18" s="6" t="n">
        <v>0.4286458333333333</v>
      </c>
      <c r="C18" s="29" t="inlineStr">
        <is>
          <t>Hayat Finans</t>
        </is>
      </c>
      <c r="D18" s="8" t="n">
        <v>49.2866</v>
      </c>
      <c r="E18" s="8" t="n">
        <v>49.4365</v>
      </c>
      <c r="F18" s="8" t="n">
        <v>0.1499</v>
      </c>
      <c r="G18" s="9" t="n">
        <v>0.003041394618415553</v>
      </c>
      <c r="H18" s="10" t="n">
        <v>55.1064</v>
      </c>
      <c r="I18" s="10" t="n">
        <v>55.2759</v>
      </c>
      <c r="J18" s="10" t="n">
        <v>0.1695</v>
      </c>
      <c r="K18" s="11" t="n">
        <v>0.003075867775793737</v>
      </c>
      <c r="L18" s="12" t="n">
        <v>6605.42</v>
      </c>
      <c r="M18" s="12" t="n">
        <v>6652.01</v>
      </c>
      <c r="N18" s="12" t="n">
        <v>46.59</v>
      </c>
      <c r="O18" s="13" t="n">
        <v>0.007053298654741107</v>
      </c>
    </row>
    <row r="19">
      <c r="A19" s="5" t="n">
        <v>46308</v>
      </c>
      <c r="B19" s="6" t="n">
        <v>0.4286458333333333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6537.98</v>
      </c>
      <c r="M19" s="12" t="n">
        <v>6730.16</v>
      </c>
      <c r="N19" s="12" t="n">
        <v>192.18</v>
      </c>
      <c r="O19" s="13" t="n">
        <v>0.02939440010523128</v>
      </c>
    </row>
    <row r="20">
      <c r="A20" s="5" t="n">
        <v>46308</v>
      </c>
      <c r="B20" s="6" t="n">
        <v>0.4286458333333333</v>
      </c>
      <c r="C20" s="31" t="inlineStr">
        <is>
          <t>HSBC</t>
        </is>
      </c>
      <c r="D20" s="8" t="n">
        <v>48.8757</v>
      </c>
      <c r="E20" s="8" t="n">
        <v>49.7593</v>
      </c>
      <c r="F20" s="8" t="n">
        <v>0.8836000000000001</v>
      </c>
      <c r="G20" s="9" t="n">
        <v>0.01807851345351575</v>
      </c>
      <c r="H20" s="10" t="n">
        <v>54.6449</v>
      </c>
      <c r="I20" s="10" t="n">
        <v>55.7013</v>
      </c>
      <c r="J20" s="10" t="n">
        <v>1.0564</v>
      </c>
      <c r="K20" s="11" t="n">
        <v>0.01933208771541351</v>
      </c>
      <c r="L20" s="12" t="n">
        <v>6548.38</v>
      </c>
      <c r="M20" s="12" t="n">
        <v>6994.02</v>
      </c>
      <c r="N20" s="12" t="n">
        <v>445.64</v>
      </c>
      <c r="O20" s="13" t="n">
        <v>0.06805347276731039</v>
      </c>
    </row>
    <row r="21">
      <c r="A21" s="5" t="n">
        <v>46308</v>
      </c>
      <c r="B21" s="6" t="n">
        <v>0.4286458333333333</v>
      </c>
      <c r="C21" s="32" t="inlineStr">
        <is>
          <t>ING Bank</t>
        </is>
      </c>
      <c r="D21" s="8" t="n">
        <v>48.8215</v>
      </c>
      <c r="E21" s="8" t="n">
        <v>49.825</v>
      </c>
      <c r="F21" s="8" t="n">
        <v>1.0035</v>
      </c>
      <c r="G21" s="9" t="n">
        <v>0.0205544688303309</v>
      </c>
      <c r="H21" s="10" t="n">
        <v>54.6512</v>
      </c>
      <c r="I21" s="10" t="n">
        <v>55.6604</v>
      </c>
      <c r="J21" s="10" t="n">
        <v>1.0092</v>
      </c>
      <c r="K21" s="11" t="n">
        <v>0.0184662001932254</v>
      </c>
      <c r="L21" s="12" t="n">
        <v>6491.58</v>
      </c>
      <c r="M21" s="12" t="n">
        <v>6793.37</v>
      </c>
      <c r="N21" s="12" t="n">
        <v>301.79</v>
      </c>
      <c r="O21" s="13" t="n">
        <v>0.04648945249076496</v>
      </c>
    </row>
    <row r="22">
      <c r="A22" s="5" t="n">
        <v>46308</v>
      </c>
      <c r="B22" s="6" t="n">
        <v>0.4286458333333333</v>
      </c>
      <c r="C22" s="33" t="inlineStr">
        <is>
          <t>İş Bankası</t>
        </is>
      </c>
      <c r="D22" s="8" t="n">
        <v>48.7361</v>
      </c>
      <c r="E22" s="8" t="n">
        <v>49.9169</v>
      </c>
      <c r="F22" s="8" t="n">
        <v>1.1808</v>
      </c>
      <c r="G22" s="9" t="n">
        <v>0.02422844667505196</v>
      </c>
      <c r="H22" s="10" t="n">
        <v>54.4919</v>
      </c>
      <c r="I22" s="10" t="n">
        <v>55.817</v>
      </c>
      <c r="J22" s="10" t="n">
        <v>1.3251</v>
      </c>
      <c r="K22" s="11" t="n">
        <v>0.02431737560995304</v>
      </c>
      <c r="L22" s="12" t="n">
        <v>6539.35</v>
      </c>
      <c r="M22" s="12" t="n">
        <v>6718.86</v>
      </c>
      <c r="N22" s="12" t="n">
        <v>179.51</v>
      </c>
      <c r="O22" s="13" t="n">
        <v>0.02745074051702386</v>
      </c>
    </row>
    <row r="23">
      <c r="A23" s="5" t="n">
        <v>46308</v>
      </c>
      <c r="B23" s="6" t="n">
        <v>0.4286458333333333</v>
      </c>
      <c r="C23" s="34" t="inlineStr">
        <is>
          <t>Kapalıçarşı</t>
        </is>
      </c>
      <c r="D23" s="8" t="n">
        <v>49.23</v>
      </c>
      <c r="E23" s="8" t="n">
        <v>49.24</v>
      </c>
      <c r="F23" s="8" t="n">
        <v>0.01</v>
      </c>
      <c r="G23" s="9" t="n">
        <v>0.0002031281738777168</v>
      </c>
      <c r="H23" s="10" t="n">
        <v>54.95</v>
      </c>
      <c r="I23" s="10" t="n">
        <v>55</v>
      </c>
      <c r="J23" s="10" t="n">
        <v>0.05</v>
      </c>
      <c r="K23" s="11" t="n">
        <v>0.0009099181073703366</v>
      </c>
      <c r="L23" s="12" t="n">
        <v>6590.39</v>
      </c>
      <c r="M23" s="12" t="n">
        <v>6596.68</v>
      </c>
      <c r="N23" s="12" t="n">
        <v>6.29</v>
      </c>
      <c r="O23" s="13" t="n">
        <v>0.0009544199963886811</v>
      </c>
    </row>
    <row r="24">
      <c r="A24" s="5" t="n">
        <v>46308</v>
      </c>
      <c r="B24" s="6" t="n">
        <v>0.4286458333333333</v>
      </c>
      <c r="C24" s="35" t="inlineStr">
        <is>
          <t>Kuveyt Türk</t>
        </is>
      </c>
      <c r="D24" s="8" t="n">
        <v>48.6817</v>
      </c>
      <c r="E24" s="8" t="n">
        <v>49.6694</v>
      </c>
      <c r="F24" s="8" t="n">
        <v>0.9877</v>
      </c>
      <c r="G24" s="9" t="n">
        <v>0.02028893814308046</v>
      </c>
      <c r="H24" s="10" t="n">
        <v>54.4421</v>
      </c>
      <c r="I24" s="10" t="n">
        <v>55.5474</v>
      </c>
      <c r="J24" s="10" t="n">
        <v>1.1053</v>
      </c>
      <c r="K24" s="11" t="n">
        <v>0.02030230281344768</v>
      </c>
      <c r="L24" s="12" t="n">
        <v>6499.77</v>
      </c>
      <c r="M24" s="12" t="n">
        <v>6672.11</v>
      </c>
      <c r="N24" s="12" t="n">
        <v>172.34</v>
      </c>
      <c r="O24" s="13" t="n">
        <v>0.02651478436929306</v>
      </c>
    </row>
    <row r="25">
      <c r="A25" s="5" t="n">
        <v>46308</v>
      </c>
      <c r="B25" s="6" t="n">
        <v>0.4286458333333333</v>
      </c>
      <c r="C25" s="36" t="inlineStr">
        <is>
          <t>Merkez Bankası</t>
        </is>
      </c>
      <c r="D25" s="8" t="n">
        <v>49.2471</v>
      </c>
      <c r="E25" s="8" t="n">
        <v>49.3358</v>
      </c>
      <c r="F25" s="8" t="n">
        <v>0.0887</v>
      </c>
      <c r="G25" s="9" t="n">
        <v>0.001801121284298974</v>
      </c>
      <c r="H25" s="10" t="n">
        <v>55.1075</v>
      </c>
      <c r="I25" s="10" t="n">
        <v>55.2068</v>
      </c>
      <c r="J25" s="10" t="n">
        <v>0.0993</v>
      </c>
      <c r="K25" s="11" t="n">
        <v>0.001801932586308579</v>
      </c>
      <c r="L25" s="12" t="n"/>
      <c r="M25" s="12" t="n"/>
      <c r="N25" s="12" t="n"/>
      <c r="O25" s="13" t="n"/>
    </row>
    <row r="26">
      <c r="A26" s="5" t="n">
        <v>46308</v>
      </c>
      <c r="B26" s="6" t="n">
        <v>0.4286458333333333</v>
      </c>
      <c r="C26" s="37" t="inlineStr">
        <is>
          <t>Misyon Bank</t>
        </is>
      </c>
      <c r="D26" s="8" t="n">
        <v>49.2757</v>
      </c>
      <c r="E26" s="8" t="n">
        <v>49.366</v>
      </c>
      <c r="F26" s="8" t="n">
        <v>0.09030000000000001</v>
      </c>
      <c r="G26" s="9" t="n">
        <v>0.001832546265197653</v>
      </c>
      <c r="H26" s="10" t="n">
        <v>55.0825</v>
      </c>
      <c r="I26" s="10" t="n">
        <v>55.2287</v>
      </c>
      <c r="J26" s="10" t="n">
        <v>0.1462</v>
      </c>
      <c r="K26" s="11" t="n">
        <v>0.00265420051740571</v>
      </c>
      <c r="L26" s="12" t="n">
        <v>6594.28</v>
      </c>
      <c r="M26" s="12" t="n">
        <v>6628.2</v>
      </c>
      <c r="N26" s="12" t="n">
        <v>33.92</v>
      </c>
      <c r="O26" s="13" t="n">
        <v>0.00514385194441243</v>
      </c>
    </row>
    <row r="27">
      <c r="A27" s="5" t="n">
        <v>46308</v>
      </c>
      <c r="B27" s="6" t="n">
        <v>0.4286458333333333</v>
      </c>
      <c r="C27" s="38" t="inlineStr">
        <is>
          <t>Odacı</t>
        </is>
      </c>
      <c r="D27" s="8" t="n">
        <v>49.217</v>
      </c>
      <c r="E27" s="8" t="n">
        <v>49.392</v>
      </c>
      <c r="F27" s="8" t="n">
        <v>0.175</v>
      </c>
      <c r="G27" s="9" t="n">
        <v>0.003555681979803727</v>
      </c>
      <c r="H27" s="10" t="n">
        <v>54.941</v>
      </c>
      <c r="I27" s="10" t="n">
        <v>55.162</v>
      </c>
      <c r="J27" s="10" t="n">
        <v>0.221</v>
      </c>
      <c r="K27" s="11" t="n">
        <v>0.004022496860268288</v>
      </c>
      <c r="L27" s="12" t="n">
        <v>6608</v>
      </c>
      <c r="M27" s="12" t="n">
        <v>6646</v>
      </c>
      <c r="N27" s="12" t="n">
        <v>38</v>
      </c>
      <c r="O27" s="13" t="n">
        <v>0.005750605326876513</v>
      </c>
    </row>
    <row r="28">
      <c r="A28" s="5" t="n">
        <v>46308</v>
      </c>
      <c r="B28" s="6" t="n">
        <v>0.4286458333333333</v>
      </c>
      <c r="C28" s="39" t="inlineStr">
        <is>
          <t>Odeabank</t>
        </is>
      </c>
      <c r="D28" s="8" t="n">
        <v>48.831</v>
      </c>
      <c r="E28" s="8" t="n">
        <v>49.831</v>
      </c>
      <c r="F28" s="8" t="n">
        <v>1</v>
      </c>
      <c r="G28" s="9" t="n">
        <v>0.020478794208597</v>
      </c>
      <c r="H28" s="10" t="n">
        <v>54.622</v>
      </c>
      <c r="I28" s="10" t="n">
        <v>55.712</v>
      </c>
      <c r="J28" s="10" t="n">
        <v>1.09</v>
      </c>
      <c r="K28" s="11" t="n">
        <v>0.01995532935447256</v>
      </c>
      <c r="L28" s="12" t="n">
        <v>6593.25</v>
      </c>
      <c r="M28" s="12" t="n">
        <v>6693.25</v>
      </c>
      <c r="N28" s="12" t="n">
        <v>100</v>
      </c>
      <c r="O28" s="13" t="n">
        <v>0.01516702688355515</v>
      </c>
    </row>
    <row r="29">
      <c r="A29" s="5" t="n">
        <v>46308</v>
      </c>
      <c r="B29" s="6" t="n">
        <v>0.4286458333333333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6536.78</v>
      </c>
      <c r="M29" s="12" t="n">
        <v>6715.51</v>
      </c>
      <c r="N29" s="12" t="n">
        <v>178.73</v>
      </c>
      <c r="O29" s="13" t="n">
        <v>0.02734220824320231</v>
      </c>
    </row>
    <row r="30">
      <c r="A30" s="5" t="n">
        <v>46308</v>
      </c>
      <c r="B30" s="6" t="n">
        <v>0.4286458333333333</v>
      </c>
      <c r="C30" s="41" t="inlineStr">
        <is>
          <t>QNB Finansbank</t>
        </is>
      </c>
      <c r="D30" s="8" t="n">
        <v>47.8575</v>
      </c>
      <c r="E30" s="8" t="n">
        <v>50.8775</v>
      </c>
      <c r="F30" s="8" t="n">
        <v>3.02</v>
      </c>
      <c r="G30" s="9" t="n">
        <v>0.06310400668651726</v>
      </c>
      <c r="H30" s="10" t="n">
        <v>52.9785</v>
      </c>
      <c r="I30" s="10" t="n">
        <v>57.4813</v>
      </c>
      <c r="J30" s="10" t="n">
        <v>4.5028</v>
      </c>
      <c r="K30" s="11" t="n">
        <v>0.08499296884585256</v>
      </c>
      <c r="L30" s="12" t="n">
        <v>6323.6</v>
      </c>
      <c r="M30" s="12" t="n">
        <v>6920.35</v>
      </c>
      <c r="N30" s="12" t="n">
        <v>596.75</v>
      </c>
      <c r="O30" s="13" t="n">
        <v>0.0943687140236574</v>
      </c>
    </row>
    <row r="31">
      <c r="A31" s="5" t="n">
        <v>46308</v>
      </c>
      <c r="B31" s="6" t="n">
        <v>0.4286458333333333</v>
      </c>
      <c r="C31" s="42" t="inlineStr">
        <is>
          <t>TOM Bank Hadi</t>
        </is>
      </c>
      <c r="D31" s="8" t="n">
        <v>49.213</v>
      </c>
      <c r="E31" s="8" t="n">
        <v>49.5092</v>
      </c>
      <c r="F31" s="8" t="n">
        <v>0.2962</v>
      </c>
      <c r="G31" s="9" t="n">
        <v>0.006018734887123321</v>
      </c>
      <c r="H31" s="10" t="n">
        <v>54.9801</v>
      </c>
      <c r="I31" s="10" t="n">
        <v>55.3113</v>
      </c>
      <c r="J31" s="10" t="n">
        <v>0.3312</v>
      </c>
      <c r="K31" s="11" t="n">
        <v>0.006023997773739953</v>
      </c>
      <c r="L31" s="12" t="n">
        <v>6590.79</v>
      </c>
      <c r="M31" s="12" t="n">
        <v>6650.35</v>
      </c>
      <c r="N31" s="12" t="n">
        <v>59.56</v>
      </c>
      <c r="O31" s="13" t="n">
        <v>0.009036852941756603</v>
      </c>
    </row>
    <row r="32">
      <c r="A32" s="5" t="n">
        <v>46308</v>
      </c>
      <c r="B32" s="6" t="n">
        <v>0.4286458333333333</v>
      </c>
      <c r="C32" s="43" t="inlineStr">
        <is>
          <t>Türkiye Finans</t>
        </is>
      </c>
      <c r="D32" s="8" t="n">
        <v>48.9206</v>
      </c>
      <c r="E32" s="8" t="n">
        <v>49.7242</v>
      </c>
      <c r="F32" s="8" t="n">
        <v>0.8036</v>
      </c>
      <c r="G32" s="9" t="n">
        <v>0.01642661782561947</v>
      </c>
      <c r="H32" s="10" t="n">
        <v>54.7329</v>
      </c>
      <c r="I32" s="10" t="n">
        <v>55.5845</v>
      </c>
      <c r="J32" s="10" t="n">
        <v>0.8516</v>
      </c>
      <c r="K32" s="11" t="n">
        <v>0.01555919748451115</v>
      </c>
      <c r="L32" s="12" t="n">
        <v>6545.36</v>
      </c>
      <c r="M32" s="12" t="n">
        <v>6741.71</v>
      </c>
      <c r="N32" s="12" t="n">
        <v>196.35</v>
      </c>
      <c r="O32" s="13" t="n">
        <v>0.02999834997616632</v>
      </c>
    </row>
    <row r="33">
      <c r="A33" s="5" t="n">
        <v>46308</v>
      </c>
      <c r="B33" s="6" t="n">
        <v>0.4286458333333333</v>
      </c>
      <c r="C33" s="44" t="inlineStr">
        <is>
          <t>Vakıf Katılım</t>
        </is>
      </c>
      <c r="D33" s="8" t="n">
        <v>49.221</v>
      </c>
      <c r="E33" s="8" t="n">
        <v>49.4287</v>
      </c>
      <c r="F33" s="8" t="n">
        <v>0.2077</v>
      </c>
      <c r="G33" s="9" t="n">
        <v>0.004219743605371691</v>
      </c>
      <c r="H33" s="10" t="n">
        <v>55.0316</v>
      </c>
      <c r="I33" s="10" t="n">
        <v>55.2533</v>
      </c>
      <c r="J33" s="10" t="n">
        <v>0.2217</v>
      </c>
      <c r="K33" s="11" t="n">
        <v>0.004028594480262249</v>
      </c>
      <c r="L33" s="12" t="n">
        <v>6584.9</v>
      </c>
      <c r="M33" s="12" t="n">
        <v>6637.79</v>
      </c>
      <c r="N33" s="12" t="n">
        <v>52.89</v>
      </c>
      <c r="O33" s="13" t="n">
        <v>0.008032012634967882</v>
      </c>
    </row>
    <row r="34">
      <c r="A34" s="5" t="n">
        <v>46308</v>
      </c>
      <c r="B34" s="6" t="n">
        <v>0.4286458333333333</v>
      </c>
      <c r="C34" s="45" t="inlineStr">
        <is>
          <t>Vakıfbank</t>
        </is>
      </c>
      <c r="D34" s="8" t="n">
        <v>48.9447</v>
      </c>
      <c r="E34" s="8" t="n">
        <v>49.9303</v>
      </c>
      <c r="F34" s="8" t="n">
        <v>0.9856</v>
      </c>
      <c r="G34" s="9" t="n">
        <v>0.02013701177042663</v>
      </c>
      <c r="H34" s="10" t="n">
        <v>54.7581</v>
      </c>
      <c r="I34" s="10" t="n">
        <v>55.8611</v>
      </c>
      <c r="J34" s="10" t="n">
        <v>1.103</v>
      </c>
      <c r="K34" s="11" t="n">
        <v>0.02014313864067599</v>
      </c>
      <c r="L34" s="12" t="n">
        <v>6551.44</v>
      </c>
      <c r="M34" s="12" t="n">
        <v>6694.04</v>
      </c>
      <c r="N34" s="12" t="n">
        <v>142.6</v>
      </c>
      <c r="O34" s="13" t="n">
        <v>0.02176620712393001</v>
      </c>
    </row>
    <row r="35">
      <c r="A35" s="5" t="n">
        <v>46308</v>
      </c>
      <c r="B35" s="6" t="n">
        <v>0.4286458333333333</v>
      </c>
      <c r="C35" s="46" t="inlineStr">
        <is>
          <t>Venüs</t>
        </is>
      </c>
      <c r="D35" s="8" t="n">
        <v>49.25</v>
      </c>
      <c r="E35" s="8" t="n">
        <v>49.317</v>
      </c>
      <c r="F35" s="8" t="n">
        <v>0.067</v>
      </c>
      <c r="G35" s="9" t="n">
        <v>0.001360406091370558</v>
      </c>
      <c r="H35" s="10" t="n">
        <v>54.983</v>
      </c>
      <c r="I35" s="10" t="n">
        <v>55.117</v>
      </c>
      <c r="J35" s="10" t="n">
        <v>0.134</v>
      </c>
      <c r="K35" s="11" t="n">
        <v>0.002437116927050179</v>
      </c>
      <c r="L35" s="12" t="n"/>
      <c r="M35" s="12" t="n"/>
      <c r="N35" s="12" t="n"/>
      <c r="O35" s="13" t="n"/>
    </row>
    <row r="36">
      <c r="A36" s="5" t="n">
        <v>46308</v>
      </c>
      <c r="B36" s="6" t="n">
        <v>0.4286458333333333</v>
      </c>
      <c r="C36" s="47" t="inlineStr">
        <is>
          <t>Yapıkredi</t>
        </is>
      </c>
      <c r="D36" s="8" t="n">
        <v>48.77</v>
      </c>
      <c r="E36" s="8" t="n">
        <v>49.77</v>
      </c>
      <c r="F36" s="8" t="n">
        <v>1</v>
      </c>
      <c r="G36" s="9" t="n">
        <v>0.02050440844781628</v>
      </c>
      <c r="H36" s="10" t="n">
        <v>54.54</v>
      </c>
      <c r="I36" s="10" t="n">
        <v>55.66</v>
      </c>
      <c r="J36" s="10" t="n">
        <v>1.12</v>
      </c>
      <c r="K36" s="11" t="n">
        <v>0.02053538687202053</v>
      </c>
      <c r="L36" s="12" t="n">
        <v>6531.47</v>
      </c>
      <c r="M36" s="12" t="n">
        <v>6732.88</v>
      </c>
      <c r="N36" s="12" t="n">
        <v>201.41</v>
      </c>
      <c r="O36" s="13" t="n">
        <v>0.0308368560216919</v>
      </c>
    </row>
    <row r="37">
      <c r="A37" s="5" t="n">
        <v>46308</v>
      </c>
      <c r="B37" s="6" t="n">
        <v>0.4286458333333333</v>
      </c>
      <c r="C37" s="48" t="inlineStr">
        <is>
          <t>Ziraat Bankası</t>
        </is>
      </c>
      <c r="D37" s="8" t="n">
        <v>48.952</v>
      </c>
      <c r="E37" s="8" t="n">
        <v>49.9423</v>
      </c>
      <c r="F37" s="8" t="n">
        <v>0.9903</v>
      </c>
      <c r="G37" s="9" t="n">
        <v>0.02023002124530152</v>
      </c>
      <c r="H37" s="10" t="n">
        <v>54.7294</v>
      </c>
      <c r="I37" s="10" t="n">
        <v>55.8366</v>
      </c>
      <c r="J37" s="10" t="n">
        <v>1.1072</v>
      </c>
      <c r="K37" s="11" t="n">
        <v>0.02023044286982865</v>
      </c>
      <c r="L37" s="12" t="n">
        <v>6585.55</v>
      </c>
      <c r="M37" s="12" t="n">
        <v>6718.52</v>
      </c>
      <c r="N37" s="12" t="n">
        <v>132.97</v>
      </c>
      <c r="O37" s="13" t="n">
        <v>0.02019117613563028</v>
      </c>
    </row>
    <row r="38">
      <c r="A38" s="5" t="n">
        <v>46308</v>
      </c>
      <c r="B38" s="6" t="n">
        <v>0.4286458333333333</v>
      </c>
      <c r="C38" s="49" t="inlineStr">
        <is>
          <t>Ziraat Dinamik</t>
        </is>
      </c>
      <c r="D38" s="8" t="n">
        <v>49.001</v>
      </c>
      <c r="E38" s="8" t="n">
        <v>49.6676</v>
      </c>
      <c r="F38" s="8" t="n">
        <v>0.6666</v>
      </c>
      <c r="G38" s="9" t="n">
        <v>0.01360380400399992</v>
      </c>
      <c r="H38" s="10" t="n">
        <v>54.7402</v>
      </c>
      <c r="I38" s="10" t="n">
        <v>55.5403</v>
      </c>
      <c r="J38" s="10" t="n">
        <v>0.8001</v>
      </c>
      <c r="K38" s="11" t="n">
        <v>0.01461631488376001</v>
      </c>
      <c r="L38" s="12" t="n">
        <v>6554.94</v>
      </c>
      <c r="M38" s="12" t="n">
        <v>6687.29</v>
      </c>
      <c r="N38" s="12" t="n">
        <v>132.35</v>
      </c>
      <c r="O38" s="13" t="n">
        <v>0.02019087894015811</v>
      </c>
    </row>
    <row r="39">
      <c r="A39" s="5" t="n">
        <v>46308</v>
      </c>
      <c r="B39" s="6" t="n">
        <v>0.4286458333333333</v>
      </c>
      <c r="C39" s="50" t="inlineStr">
        <is>
          <t>Ziraat Katılım</t>
        </is>
      </c>
      <c r="D39" s="8" t="n">
        <v>48.827</v>
      </c>
      <c r="E39" s="8" t="n">
        <v>49.8463</v>
      </c>
      <c r="F39" s="8" t="n">
        <v>1.0193</v>
      </c>
      <c r="G39" s="9" t="n">
        <v>0.02087574497716427</v>
      </c>
      <c r="H39" s="10" t="n">
        <v>54.5614</v>
      </c>
      <c r="I39" s="10" t="n">
        <v>55.7549</v>
      </c>
      <c r="J39" s="10" t="n">
        <v>1.1935</v>
      </c>
      <c r="K39" s="11" t="n">
        <v>0.02187443870575169</v>
      </c>
      <c r="L39" s="12" t="n">
        <v>6573.73</v>
      </c>
      <c r="M39" s="12" t="n">
        <v>6782.42</v>
      </c>
      <c r="N39" s="12" t="n">
        <v>208.69</v>
      </c>
      <c r="O39" s="13" t="n">
        <v>0.03174605589216472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</hyperlinks>
  <pageMargins left="0.75" right="0.75" top="1" bottom="1" header="0.5" footer="0.5"/>
  <tableParts count="1">
    <tablePart xmlns:r="http://schemas.openxmlformats.org/officeDocument/2006/relationships" r:id="rId506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46308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0.4286458333333333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0.02023002124530152</v>
      </c>
      <c r="O5" s="73" t="inlineStr">
        <is>
          <t>Ziraat Bankası</t>
        </is>
      </c>
      <c r="P5" s="74" t="n">
        <v>48.952</v>
      </c>
      <c r="Q5" s="74" t="n">
        <v>49.9423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0.02023044286982865</v>
      </c>
      <c r="O6" s="73" t="inlineStr">
        <is>
          <t>Ziraat Bankası</t>
        </is>
      </c>
      <c r="P6" s="74" t="n">
        <v>54.7294</v>
      </c>
      <c r="Q6" s="74" t="n">
        <v>55.8366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0.02019117613563028</v>
      </c>
      <c r="O7" s="73" t="inlineStr">
        <is>
          <t>Ziraat Bankası</t>
        </is>
      </c>
      <c r="P7" s="74" t="n">
        <v>6585.55</v>
      </c>
      <c r="Q7" s="74" t="n">
        <v>6718.52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0.03215463097699486</v>
      </c>
      <c r="I15" s="69" t="n">
        <v>0.03215486803563167</v>
      </c>
      <c r="J15" s="70" t="n">
        <v>0.04453063675647969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0.03670754258284642</v>
      </c>
      <c r="I16" s="69" t="n">
        <v>0.03677180759422051</v>
      </c>
      <c r="J16" s="70" t="n">
        <v>0.05025078334475736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0.03165348315903595</v>
      </c>
      <c r="I17" s="69" t="n">
        <v>0.03029424223568543</v>
      </c>
      <c r="J17" s="70" t="n">
        <v>0.04719697043890013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0.03273766346944402</v>
      </c>
      <c r="I18" s="69" t="n">
        <v>0.03273827456141638</v>
      </c>
      <c r="J18" s="70" t="n">
        <v>0.05849822553247207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0.03398575568623928</v>
      </c>
      <c r="I19" s="69" t="n">
        <v>0.03410613855207646</v>
      </c>
      <c r="J19" s="70" t="n">
        <v>0.05999468455931875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0.03215463097699486</v>
      </c>
      <c r="V4" s="55" t="n">
        <v>0.03670754258284642</v>
      </c>
      <c r="W4" s="55" t="n">
        <v>0.03165348315903595</v>
      </c>
      <c r="X4" s="55" t="n">
        <v>0.03273766346944402</v>
      </c>
      <c r="Y4" s="55" t="n">
        <v>0.03398575568623928</v>
      </c>
      <c r="Z4" s="55" t="n">
        <v>0.03215486803563167</v>
      </c>
      <c r="AA4" s="55" t="n">
        <v>0.03677180759422051</v>
      </c>
      <c r="AB4" s="55" t="n">
        <v>0.03029424223568543</v>
      </c>
      <c r="AC4" s="55" t="n">
        <v>0.03273827456141638</v>
      </c>
      <c r="AD4" s="55" t="n">
        <v>0.03410613855207646</v>
      </c>
      <c r="AE4" s="55" t="n">
        <v>0.04453063675647969</v>
      </c>
      <c r="AF4" s="55" t="n">
        <v>0.05025078334475736</v>
      </c>
      <c r="AG4" s="55" t="n">
        <v>0.04719697043890013</v>
      </c>
      <c r="AH4" s="55" t="n">
        <v>0.05849822553247207</v>
      </c>
      <c r="AI4" s="55" t="n">
        <v>0.05999468455931875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2026-10-13T07:17:55Z</dcterms:created>
  <dcterms:modified xsi:type="dcterms:W3CDTF">2026-10-13T07:17:56Z</dcterms:modified>
</cp:coreProperties>
</file>