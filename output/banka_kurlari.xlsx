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'GRAFIK_VERILERI'!$B$2:$B$36</f>
              <numCache>
                <formatCode>0.00%</formatCode>
                <ptCount val="3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'GRAFIK_VERILERI'!$C$2:$C$36</f>
              <numCache>
                <formatCode>0.00%</formatCode>
                <ptCount val="3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'GRAFIK_VERILERI'!$D$2:$D$36</f>
              <numCache>
                <formatCode>0.00%</formatCode>
                <ptCount val="3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'GRAFIK_VERILERI'!$E$2:$E$36</f>
              <numCache>
                <formatCode>0.00%</formatCode>
                <ptCount val="3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'GRAFIK_VERILERI'!$F$2:$F$36</f>
              <numCache>
                <formatCode>0.00%</formatCode>
                <ptCount val="3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'GRAFIK_VERILERI'!$G$2:$G$36</f>
              <numCache>
                <formatCode>0.00%</formatCode>
                <ptCount val="3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'GRAFIK_VERILERI'!$H$2:$H$36</f>
              <numCache>
                <formatCode>0.00%</formatCode>
                <ptCount val="3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'GRAFIK_VERILERI'!$I$2:$I$36</f>
              <numCache>
                <formatCode>0.00%</formatCode>
                <ptCount val="3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'GRAFIK_VERILERI'!$J$2:$J$36</f>
              <numCache>
                <formatCode>0.00%</formatCode>
                <ptCount val="3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'GRAFIK_VERILERI'!$K$2:$K$36</f>
              <numCache>
                <formatCode>0.00%</formatCode>
                <ptCount val="3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'GRAFIK_VERILERI'!$L$2:$L$36</f>
              <numCache>
                <formatCode>0.00%</formatCode>
                <ptCount val="3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'GRAFIK_VERILERI'!$M$2:$M$36</f>
              <numCache>
                <formatCode>0.00%</formatCode>
                <ptCount val="3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'GRAFIK_VERILERI'!$N$2:$N$36</f>
              <numCache>
                <formatCode>0.00%</formatCode>
                <ptCount val="3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'GRAFIK_VERILERI'!$O$2:$O$36</f>
              <numCache>
                <formatCode>0.00%</formatCode>
                <ptCount val="3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'GRAFIK_VERILERI'!$P$2:$P$36</f>
              <numCache>
                <formatCode>0.00%</formatCode>
                <ptCount val="3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0.02801352949720902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0.02798623491852896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0.0206654267410622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0.02022935930764421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0.02426337067695734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22879553656"/>
          <min val="0.016122637200527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0.02801613494682802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0.02807653907101573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0.0206392694063927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0.02022971120669282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0.02435933951171775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61744640239"/>
          <min val="0.0155468538710785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0.03678424618885589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0.03558343969094737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0.03109331551711872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0.02019145671859354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0.0274130743789153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8332486996"/>
          <min val="0.00796145108423187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'GRAFIK_VERILERI'!$B$2:$B$36</f>
              <numCache>
                <formatCode>0.00%</formatCode>
                <ptCount val="3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591791474121"/>
          <min val="0.0251081314276203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'GRAFIK_VERILERI'!$G$2:$G$36</f>
              <numCache>
                <formatCode>0.00%</formatCode>
                <ptCount val="3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5216016963136"/>
          <min val="0.0251101307430274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'GRAFIK_VERILERI'!$L$2:$L$36</f>
              <numCache>
                <formatCode>0.00%</formatCode>
                <ptCount val="3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565278143371"/>
          <min val="0.0300006784234262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'GRAFIK_VERILERI'!$C$2:$C$36</f>
              <numCache>
                <formatCode>0.00%</formatCode>
                <ptCount val="3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971902128637"/>
          <min val="0.0220344090361398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'GRAFIK_VERILERI'!$H$2:$H$36</f>
              <numCache>
                <formatCode>0.00%</formatCode>
                <ptCount val="3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258897358096"/>
          <min val="0.022002736997387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'GRAFIK_VERILERI'!$M$2:$M$36</f>
              <numCache>
                <formatCode>0.00%</formatCode>
                <ptCount val="3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4051881999867"/>
          <min val="0.025673926502772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'GRAFIK_VERILERI'!$D$2:$D$36</f>
              <numCache>
                <formatCode>0.00%</formatCode>
                <ptCount val="3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'GRAFIK_VERILERI'!$I$2:$I$36</f>
              <numCache>
                <formatCode>0.00%</formatCode>
                <ptCount val="3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'GRAFIK_VERILERI'!$N$2:$N$36</f>
              <numCache>
                <formatCode>0.00%</formatCode>
                <ptCount val="3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'GRAFIK_VERILERI'!$E$2:$E$36</f>
              <numCache>
                <formatCode>0.00%</formatCode>
                <ptCount val="3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'GRAFIK_VERILERI'!$J$2:$J$36</f>
              <numCache>
                <formatCode>0.00%</formatCode>
                <ptCount val="3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'GRAFIK_VERILERI'!$O$2:$O$36</f>
              <numCache>
                <formatCode>0.00%</formatCode>
                <ptCount val="3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'GRAFIK_VERILERI'!$F$2:$F$36</f>
              <numCache>
                <formatCode>0.00%</formatCode>
                <ptCount val="3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'GRAFIK_VERILERI'!$K$2:$K$36</f>
              <numCache>
                <formatCode>0.00%</formatCode>
                <ptCount val="3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'GRAFIK_VERILERI'!$A$2:$A$36</f>
              <strCache>
                <ptCount val="3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</strCache>
            </strRef>
          </cat>
          <val>
            <numRef>
              <f>'GRAFIK_VERILERI'!$P$2:$P$36</f>
              <numCache>
                <formatCode>0.00%</formatCode>
                <ptCount val="3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772" headerRowCount="1">
  <autoFilter ref="A1:N3772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table" Target="/xl/tables/table2.xml" Id="rId377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46296</v>
      </c>
      <c r="B2" s="6" t="n">
        <v>0.4227083333333334</v>
      </c>
      <c r="C2" s="7" t="inlineStr">
        <is>
          <t>Akbank</t>
        </is>
      </c>
      <c r="D2" s="8" t="n">
        <v>48.238</v>
      </c>
      <c r="E2" s="8" t="n">
        <v>49.588</v>
      </c>
      <c r="F2" s="8" t="n">
        <v>1.35</v>
      </c>
      <c r="G2" s="9" t="n">
        <v>0.02798623491852896</v>
      </c>
      <c r="H2" s="10" t="n">
        <v>54.5865</v>
      </c>
      <c r="I2" s="10" t="n">
        <v>56.1191</v>
      </c>
      <c r="J2" s="10" t="n">
        <v>1.5326</v>
      </c>
      <c r="K2" s="11" t="n">
        <v>0.02807653907101573</v>
      </c>
      <c r="L2" s="12" t="n">
        <v>6417.03</v>
      </c>
      <c r="M2" s="12" t="n">
        <v>6645.37</v>
      </c>
      <c r="N2" s="12" t="n">
        <v>228.34</v>
      </c>
      <c r="O2" s="13" t="n">
        <v>0.03558343969094737</v>
      </c>
    </row>
    <row r="3">
      <c r="A3" s="5" t="n">
        <v>46296</v>
      </c>
      <c r="B3" s="6" t="n">
        <v>0.4227083333333334</v>
      </c>
      <c r="C3" s="14" t="inlineStr">
        <is>
          <t>Albaraka Türk</t>
        </is>
      </c>
      <c r="D3" s="8" t="n">
        <v>48.664</v>
      </c>
      <c r="E3" s="8" t="n">
        <v>49.385</v>
      </c>
      <c r="F3" s="8" t="n">
        <v>0.721</v>
      </c>
      <c r="G3" s="9" t="n">
        <v>0.01481588032220944</v>
      </c>
      <c r="H3" s="10" t="n">
        <v>55.073</v>
      </c>
      <c r="I3" s="10" t="n">
        <v>55.894</v>
      </c>
      <c r="J3" s="10" t="n">
        <v>0.821</v>
      </c>
      <c r="K3" s="11" t="n">
        <v>0.01490748642710584</v>
      </c>
      <c r="L3" s="12" t="n">
        <v>6492.83</v>
      </c>
      <c r="M3" s="12" t="n">
        <v>6616.72</v>
      </c>
      <c r="N3" s="12" t="n">
        <v>123.89</v>
      </c>
      <c r="O3" s="13" t="n">
        <v>0.01908104786356643</v>
      </c>
    </row>
    <row r="4">
      <c r="A4" s="5" t="n">
        <v>46296</v>
      </c>
      <c r="B4" s="6" t="n">
        <v>0.4227083333333334</v>
      </c>
      <c r="C4" s="15" t="inlineStr">
        <is>
          <t>Alternatif Bank</t>
        </is>
      </c>
      <c r="D4" s="8" t="n">
        <v>48.822</v>
      </c>
      <c r="E4" s="8" t="n">
        <v>49.107</v>
      </c>
      <c r="F4" s="8" t="n">
        <v>0.285</v>
      </c>
      <c r="G4" s="9" t="n">
        <v>0.005837532260046701</v>
      </c>
      <c r="H4" s="10" t="n">
        <v>55.079</v>
      </c>
      <c r="I4" s="10" t="n">
        <v>55.574</v>
      </c>
      <c r="J4" s="10" t="n">
        <v>0.495</v>
      </c>
      <c r="K4" s="11" t="n">
        <v>0.008987091268904665</v>
      </c>
      <c r="L4" s="12" t="n">
        <v>6550.47</v>
      </c>
      <c r="M4" s="12" t="n">
        <v>6615.35</v>
      </c>
      <c r="N4" s="12" t="n">
        <v>64.88</v>
      </c>
      <c r="O4" s="13" t="n">
        <v>0.009904632797341259</v>
      </c>
    </row>
    <row r="5">
      <c r="A5" s="5" t="n">
        <v>46296</v>
      </c>
      <c r="B5" s="6" t="n">
        <v>0.4227083333333334</v>
      </c>
      <c r="C5" s="16" t="inlineStr">
        <is>
          <t>Altınkaynak</t>
        </is>
      </c>
      <c r="D5" s="8" t="n">
        <v>48.89</v>
      </c>
      <c r="E5" s="8" t="n">
        <v>49.099</v>
      </c>
      <c r="F5" s="8" t="n">
        <v>0.209</v>
      </c>
      <c r="G5" s="9" t="n">
        <v>0.004274902843117202</v>
      </c>
      <c r="H5" s="10" t="n">
        <v>55.19</v>
      </c>
      <c r="I5" s="10" t="n">
        <v>55.566</v>
      </c>
      <c r="J5" s="10" t="n">
        <v>0.376</v>
      </c>
      <c r="K5" s="11" t="n">
        <v>0.006812828410944011</v>
      </c>
      <c r="L5" s="12" t="n">
        <v>6520.37</v>
      </c>
      <c r="M5" s="12" t="n">
        <v>6690</v>
      </c>
      <c r="N5" s="12" t="n">
        <v>169.63</v>
      </c>
      <c r="O5" s="13" t="n">
        <v>0.02601539483188837</v>
      </c>
    </row>
    <row r="6">
      <c r="A6" s="5" t="n">
        <v>46296</v>
      </c>
      <c r="B6" s="6" t="n">
        <v>0.4227083333333334</v>
      </c>
      <c r="C6" s="17" t="inlineStr">
        <is>
          <t>Anadolubank</t>
        </is>
      </c>
      <c r="D6" s="8" t="n">
        <v>48.1892</v>
      </c>
      <c r="E6" s="8" t="n">
        <v>49.4663</v>
      </c>
      <c r="F6" s="8" t="n">
        <v>1.2771</v>
      </c>
      <c r="G6" s="9" t="n">
        <v>0.02650178878254878</v>
      </c>
      <c r="H6" s="10" t="n">
        <v>54.6079</v>
      </c>
      <c r="I6" s="10" t="n">
        <v>55.9799</v>
      </c>
      <c r="J6" s="10" t="n">
        <v>1.372</v>
      </c>
      <c r="K6" s="11" t="n">
        <v>0.02512456988823961</v>
      </c>
      <c r="L6" s="12" t="n">
        <v>6470.46</v>
      </c>
      <c r="M6" s="12" t="n">
        <v>6626.34</v>
      </c>
      <c r="N6" s="12" t="n">
        <v>155.88</v>
      </c>
      <c r="O6" s="13" t="n">
        <v>0.02409102289481737</v>
      </c>
    </row>
    <row r="7">
      <c r="A7" s="5" t="n">
        <v>46296</v>
      </c>
      <c r="B7" s="6" t="n">
        <v>0.4227083333333334</v>
      </c>
      <c r="C7" s="18" t="inlineStr">
        <is>
          <t>CEPTETEB</t>
        </is>
      </c>
      <c r="D7" s="8" t="n">
        <v>48.024</v>
      </c>
      <c r="E7" s="8" t="n">
        <v>49.976</v>
      </c>
      <c r="F7" s="8" t="n">
        <v>1.952</v>
      </c>
      <c r="G7" s="9" t="n">
        <v>0.0406463434949192</v>
      </c>
      <c r="H7" s="10" t="n">
        <v>54.345</v>
      </c>
      <c r="I7" s="10" t="n">
        <v>56.563</v>
      </c>
      <c r="J7" s="10" t="n">
        <v>2.218</v>
      </c>
      <c r="K7" s="11" t="n">
        <v>0.04081332229275923</v>
      </c>
      <c r="L7" s="12" t="n">
        <v>6466.82</v>
      </c>
      <c r="M7" s="12" t="n">
        <v>6663.69</v>
      </c>
      <c r="N7" s="12" t="n">
        <v>196.87</v>
      </c>
      <c r="O7" s="13" t="n">
        <v>0.03044309258646444</v>
      </c>
    </row>
    <row r="8">
      <c r="A8" s="5" t="n">
        <v>46296</v>
      </c>
      <c r="B8" s="6" t="n">
        <v>0.4227083333333334</v>
      </c>
      <c r="C8" s="19" t="inlineStr">
        <is>
          <t>Denizbank</t>
        </is>
      </c>
      <c r="D8" s="8" t="n">
        <v>48.2912</v>
      </c>
      <c r="E8" s="8" t="n">
        <v>49.6913</v>
      </c>
      <c r="F8" s="8" t="n">
        <v>1.4001</v>
      </c>
      <c r="G8" s="9" t="n">
        <v>0.02899285998277119</v>
      </c>
      <c r="H8" s="10" t="n">
        <v>54.6564</v>
      </c>
      <c r="I8" s="10" t="n">
        <v>56.2411</v>
      </c>
      <c r="J8" s="10" t="n">
        <v>1.5847</v>
      </c>
      <c r="K8" s="11" t="n">
        <v>0.02899385982245446</v>
      </c>
      <c r="L8" s="12" t="n">
        <v>6488.05</v>
      </c>
      <c r="M8" s="12" t="n">
        <v>6677.23</v>
      </c>
      <c r="N8" s="12" t="n">
        <v>189.18</v>
      </c>
      <c r="O8" s="13" t="n">
        <v>0.02915822165365557</v>
      </c>
    </row>
    <row r="9">
      <c r="A9" s="5" t="n">
        <v>46296</v>
      </c>
      <c r="B9" s="6" t="n">
        <v>0.4227083333333334</v>
      </c>
      <c r="C9" s="20" t="inlineStr">
        <is>
          <t>DestekBank</t>
        </is>
      </c>
      <c r="D9" s="8" t="n">
        <v>48.9228</v>
      </c>
      <c r="E9" s="8" t="n">
        <v>49.0567</v>
      </c>
      <c r="F9" s="8" t="n">
        <v>0.1339</v>
      </c>
      <c r="G9" s="9" t="n">
        <v>0.002736965177790315</v>
      </c>
      <c r="H9" s="10" t="n">
        <v>55.3469</v>
      </c>
      <c r="I9" s="10" t="n">
        <v>55.5218</v>
      </c>
      <c r="J9" s="10" t="n">
        <v>0.1749</v>
      </c>
      <c r="K9" s="11" t="n">
        <v>0.003160068585593773</v>
      </c>
      <c r="L9" s="12" t="n">
        <v>6481.83</v>
      </c>
      <c r="M9" s="12" t="n">
        <v>6613.69</v>
      </c>
      <c r="N9" s="12" t="n">
        <v>131.86</v>
      </c>
      <c r="O9" s="13" t="n">
        <v>0.02034302041244525</v>
      </c>
    </row>
    <row r="10">
      <c r="A10" s="5" t="n">
        <v>46296</v>
      </c>
      <c r="B10" s="6" t="n">
        <v>0.4227083333333334</v>
      </c>
      <c r="C10" s="21" t="inlineStr">
        <is>
          <t>Dünya Katılım</t>
        </is>
      </c>
      <c r="D10" s="8" t="n">
        <v>48.9449</v>
      </c>
      <c r="E10" s="8" t="n">
        <v>49.0362</v>
      </c>
      <c r="F10" s="8" t="n">
        <v>0.09130000000000001</v>
      </c>
      <c r="G10" s="9" t="n">
        <v>0.001865362887655302</v>
      </c>
      <c r="H10" s="10" t="n">
        <v>55.3212</v>
      </c>
      <c r="I10" s="10" t="n">
        <v>55.5236</v>
      </c>
      <c r="J10" s="10" t="n">
        <v>0.2024</v>
      </c>
      <c r="K10" s="11" t="n">
        <v>0.003658633579893422</v>
      </c>
      <c r="L10" s="12" t="n">
        <v>6533.13</v>
      </c>
      <c r="M10" s="12" t="n">
        <v>6567.41</v>
      </c>
      <c r="N10" s="12" t="n">
        <v>34.28</v>
      </c>
      <c r="O10" s="13" t="n">
        <v>0.005247102078176923</v>
      </c>
    </row>
    <row r="11">
      <c r="A11" s="5" t="n">
        <v>46296</v>
      </c>
      <c r="B11" s="6" t="n">
        <v>0.4227083333333334</v>
      </c>
      <c r="C11" s="22" t="inlineStr">
        <is>
          <t>Emlak Katılım</t>
        </is>
      </c>
      <c r="D11" s="8" t="n">
        <v>48.6571</v>
      </c>
      <c r="E11" s="8" t="n">
        <v>49.9127</v>
      </c>
      <c r="F11" s="8" t="n">
        <v>1.2556</v>
      </c>
      <c r="G11" s="9" t="n">
        <v>0.02580507264099176</v>
      </c>
      <c r="H11" s="10" t="n">
        <v>54.9377</v>
      </c>
      <c r="I11" s="10" t="n">
        <v>56.2087</v>
      </c>
      <c r="J11" s="10" t="n">
        <v>1.271</v>
      </c>
      <c r="K11" s="11" t="n">
        <v>0.02313529689084181</v>
      </c>
      <c r="L11" s="12" t="n">
        <v>6491.17</v>
      </c>
      <c r="M11" s="12" t="n">
        <v>6597.59</v>
      </c>
      <c r="N11" s="12" t="n">
        <v>106.42</v>
      </c>
      <c r="O11" s="13" t="n">
        <v>0.01639457909745085</v>
      </c>
    </row>
    <row r="12">
      <c r="A12" s="5" t="n">
        <v>46296</v>
      </c>
      <c r="B12" s="6" t="n">
        <v>0.4227083333333334</v>
      </c>
      <c r="C12" s="23" t="inlineStr">
        <is>
          <t>Enpara</t>
        </is>
      </c>
      <c r="D12" s="8" t="n">
        <v>48.5845</v>
      </c>
      <c r="E12" s="8" t="n">
        <v>49.4345</v>
      </c>
      <c r="F12" s="8" t="n">
        <v>0.85</v>
      </c>
      <c r="G12" s="9" t="n">
        <v>0.01749529170826087</v>
      </c>
      <c r="H12" s="10" t="n">
        <v>54.9006</v>
      </c>
      <c r="I12" s="10" t="n">
        <v>56.0339</v>
      </c>
      <c r="J12" s="10" t="n">
        <v>1.1333</v>
      </c>
      <c r="K12" s="11" t="n">
        <v>0.02064276164559221</v>
      </c>
      <c r="L12" s="12" t="n">
        <v>6486.06</v>
      </c>
      <c r="M12" s="12" t="n">
        <v>6628.6</v>
      </c>
      <c r="N12" s="12" t="n">
        <v>142.54</v>
      </c>
      <c r="O12" s="13" t="n">
        <v>0.02197636161244268</v>
      </c>
    </row>
    <row r="13">
      <c r="A13" s="5" t="n">
        <v>46296</v>
      </c>
      <c r="B13" s="6" t="n">
        <v>0.4227083333333334</v>
      </c>
      <c r="C13" s="24" t="inlineStr">
        <is>
          <t>Fibabanka</t>
        </is>
      </c>
      <c r="D13" s="8" t="n">
        <v>48.735</v>
      </c>
      <c r="E13" s="8" t="n">
        <v>49.3422</v>
      </c>
      <c r="F13" s="8" t="n">
        <v>0.6072</v>
      </c>
      <c r="G13" s="9" t="n">
        <v>0.01245921822099108</v>
      </c>
      <c r="H13" s="10" t="n">
        <v>55.1581</v>
      </c>
      <c r="I13" s="10" t="n">
        <v>55.8205</v>
      </c>
      <c r="J13" s="10" t="n">
        <v>0.6624</v>
      </c>
      <c r="K13" s="11" t="n">
        <v>0.01200911561493235</v>
      </c>
      <c r="L13" s="12" t="n">
        <v>6555.33</v>
      </c>
      <c r="M13" s="12" t="n">
        <v>6609.61</v>
      </c>
      <c r="N13" s="12" t="n">
        <v>54.28</v>
      </c>
      <c r="O13" s="13" t="n">
        <v>0.008280284897938014</v>
      </c>
    </row>
    <row r="14">
      <c r="A14" s="5" t="n">
        <v>46296</v>
      </c>
      <c r="B14" s="6" t="n">
        <v>0.4227083333333334</v>
      </c>
      <c r="C14" s="25" t="inlineStr">
        <is>
          <t>Garanti BBVA</t>
        </is>
      </c>
      <c r="D14" s="8" t="n">
        <v>48.191</v>
      </c>
      <c r="E14" s="8" t="n">
        <v>49.541</v>
      </c>
      <c r="F14" s="8" t="n">
        <v>1.35</v>
      </c>
      <c r="G14" s="9" t="n">
        <v>0.02801352949720902</v>
      </c>
      <c r="H14" s="10" t="n">
        <v>54.54</v>
      </c>
      <c r="I14" s="10" t="n">
        <v>56.068</v>
      </c>
      <c r="J14" s="10" t="n">
        <v>1.528</v>
      </c>
      <c r="K14" s="11" t="n">
        <v>0.02801613494682802</v>
      </c>
      <c r="L14" s="12" t="n">
        <v>6468.53</v>
      </c>
      <c r="M14" s="12" t="n">
        <v>6706.47</v>
      </c>
      <c r="N14" s="12" t="n">
        <v>237.94</v>
      </c>
      <c r="O14" s="13" t="n">
        <v>0.03678424618885589</v>
      </c>
    </row>
    <row r="15">
      <c r="A15" s="5" t="n">
        <v>46296</v>
      </c>
      <c r="B15" s="6" t="n">
        <v>0.4227083333333334</v>
      </c>
      <c r="C15" s="26" t="inlineStr">
        <is>
          <t>Getirfinans</t>
        </is>
      </c>
      <c r="D15" s="8" t="n">
        <v>48.7349</v>
      </c>
      <c r="E15" s="8" t="n">
        <v>49.3422</v>
      </c>
      <c r="F15" s="8" t="n">
        <v>0.6073</v>
      </c>
      <c r="G15" s="9" t="n">
        <v>0.01246129570390008</v>
      </c>
      <c r="H15" s="10" t="n">
        <v>55.156</v>
      </c>
      <c r="I15" s="10" t="n">
        <v>55.819</v>
      </c>
      <c r="J15" s="10" t="n">
        <v>0.663</v>
      </c>
      <c r="K15" s="11" t="n">
        <v>0.01202045108419755</v>
      </c>
      <c r="L15" s="12" t="n">
        <v>6555.64</v>
      </c>
      <c r="M15" s="12" t="n">
        <v>6609.9</v>
      </c>
      <c r="N15" s="12" t="n">
        <v>54.26</v>
      </c>
      <c r="O15" s="13" t="n">
        <v>0.008276842535587678</v>
      </c>
    </row>
    <row r="16">
      <c r="A16" s="5" t="n">
        <v>46296</v>
      </c>
      <c r="B16" s="6" t="n">
        <v>0.4227083333333334</v>
      </c>
      <c r="C16" s="27" t="inlineStr">
        <is>
          <t>Halkbank</t>
        </is>
      </c>
      <c r="D16" s="8" t="n">
        <v>48.6048</v>
      </c>
      <c r="E16" s="8" t="n">
        <v>49.5847</v>
      </c>
      <c r="F16" s="8" t="n">
        <v>0.9799</v>
      </c>
      <c r="G16" s="9" t="n">
        <v>0.02016056027388241</v>
      </c>
      <c r="H16" s="10" t="n">
        <v>54.9939</v>
      </c>
      <c r="I16" s="10" t="n">
        <v>56.1026</v>
      </c>
      <c r="J16" s="10" t="n">
        <v>1.1087</v>
      </c>
      <c r="K16" s="11" t="n">
        <v>0.02016041779179145</v>
      </c>
      <c r="L16" s="12" t="n">
        <v>6186.5</v>
      </c>
      <c r="M16" s="12" t="n">
        <v>7082</v>
      </c>
      <c r="N16" s="12" t="n">
        <v>895.5</v>
      </c>
      <c r="O16" s="13" t="n">
        <v>0.1447506667744282</v>
      </c>
    </row>
    <row r="17">
      <c r="A17" s="5" t="n">
        <v>46296</v>
      </c>
      <c r="B17" s="6" t="n">
        <v>0.4227083333333334</v>
      </c>
      <c r="C17" s="28" t="inlineStr">
        <is>
          <t>Harem</t>
        </is>
      </c>
      <c r="D17" s="8" t="n">
        <v>48.96</v>
      </c>
      <c r="E17" s="8" t="n">
        <v>49.02</v>
      </c>
      <c r="F17" s="8" t="n">
        <v>0.06</v>
      </c>
      <c r="G17" s="9" t="n">
        <v>0.001225490196078431</v>
      </c>
      <c r="H17" s="10" t="n">
        <v>55.289</v>
      </c>
      <c r="I17" s="10" t="n">
        <v>55.447</v>
      </c>
      <c r="J17" s="10" t="n">
        <v>0.158</v>
      </c>
      <c r="K17" s="11" t="n">
        <v>0.002857711298811699</v>
      </c>
      <c r="L17" s="12" t="n">
        <v>6552.11</v>
      </c>
      <c r="M17" s="12" t="n">
        <v>6629.18</v>
      </c>
      <c r="N17" s="12" t="n">
        <v>77.06999999999999</v>
      </c>
      <c r="O17" s="13" t="n">
        <v>0.01176262303288559</v>
      </c>
    </row>
    <row r="18">
      <c r="A18" s="5" t="n">
        <v>46296</v>
      </c>
      <c r="B18" s="6" t="n">
        <v>0.4227083333333334</v>
      </c>
      <c r="C18" s="29" t="inlineStr">
        <is>
          <t>Hayat Finans</t>
        </is>
      </c>
      <c r="D18" s="8" t="n">
        <v>48.9543</v>
      </c>
      <c r="E18" s="8" t="n">
        <v>49.1026</v>
      </c>
      <c r="F18" s="8" t="n">
        <v>0.1483</v>
      </c>
      <c r="G18" s="9" t="n">
        <v>0.003029355950345526</v>
      </c>
      <c r="H18" s="10" t="n">
        <v>55.3906</v>
      </c>
      <c r="I18" s="10" t="n">
        <v>55.5606</v>
      </c>
      <c r="J18" s="10" t="n">
        <v>0.17</v>
      </c>
      <c r="K18" s="11" t="n">
        <v>0.003069112809754724</v>
      </c>
      <c r="L18" s="12" t="n">
        <v>6545.29</v>
      </c>
      <c r="M18" s="12" t="n">
        <v>6591.54</v>
      </c>
      <c r="N18" s="12" t="n">
        <v>46.25</v>
      </c>
      <c r="O18" s="13" t="n">
        <v>0.007066149857378359</v>
      </c>
    </row>
    <row r="19">
      <c r="A19" s="5" t="n">
        <v>46296</v>
      </c>
      <c r="B19" s="6" t="n">
        <v>0.4227083333333334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6539.98</v>
      </c>
      <c r="M19" s="12" t="n">
        <v>6731.76</v>
      </c>
      <c r="N19" s="12" t="n">
        <v>191.78</v>
      </c>
      <c r="O19" s="13" t="n">
        <v>0.02932424869800825</v>
      </c>
    </row>
    <row r="20">
      <c r="A20" s="5" t="n">
        <v>46296</v>
      </c>
      <c r="B20" s="6" t="n">
        <v>0.4227083333333334</v>
      </c>
      <c r="C20" s="31" t="inlineStr">
        <is>
          <t>HSBC</t>
        </is>
      </c>
      <c r="D20" s="8" t="n">
        <v>48.5435</v>
      </c>
      <c r="E20" s="8" t="n">
        <v>49.4262</v>
      </c>
      <c r="F20" s="8" t="n">
        <v>0.8827</v>
      </c>
      <c r="G20" s="9" t="n">
        <v>0.01818369091639457</v>
      </c>
      <c r="H20" s="10" t="n">
        <v>54.8893</v>
      </c>
      <c r="I20" s="10" t="n">
        <v>55.9721</v>
      </c>
      <c r="J20" s="10" t="n">
        <v>1.0828</v>
      </c>
      <c r="K20" s="11" t="n">
        <v>0.01972697775340549</v>
      </c>
      <c r="L20" s="12" t="n">
        <v>6486.72</v>
      </c>
      <c r="M20" s="12" t="n">
        <v>6932.09</v>
      </c>
      <c r="N20" s="12" t="n">
        <v>445.37</v>
      </c>
      <c r="O20" s="13" t="n">
        <v>0.06865873661881505</v>
      </c>
    </row>
    <row r="21">
      <c r="A21" s="5" t="n">
        <v>46296</v>
      </c>
      <c r="B21" s="6" t="n">
        <v>0.4227083333333334</v>
      </c>
      <c r="C21" s="32" t="inlineStr">
        <is>
          <t>ING Bank</t>
        </is>
      </c>
      <c r="D21" s="8" t="n">
        <v>48.4884</v>
      </c>
      <c r="E21" s="8" t="n">
        <v>49.492</v>
      </c>
      <c r="F21" s="8" t="n">
        <v>1.0036</v>
      </c>
      <c r="G21" s="9" t="n">
        <v>0.02069773389099248</v>
      </c>
      <c r="H21" s="10" t="n">
        <v>54.9335</v>
      </c>
      <c r="I21" s="10" t="n">
        <v>55.9401</v>
      </c>
      <c r="J21" s="10" t="n">
        <v>1.0066</v>
      </c>
      <c r="K21" s="11" t="n">
        <v>0.0183239735316337</v>
      </c>
      <c r="L21" s="12" t="n">
        <v>6429.8</v>
      </c>
      <c r="M21" s="12" t="n">
        <v>6731.77</v>
      </c>
      <c r="N21" s="12" t="n">
        <v>301.97</v>
      </c>
      <c r="O21" s="13" t="n">
        <v>0.04696413574294691</v>
      </c>
    </row>
    <row r="22">
      <c r="A22" s="5" t="n">
        <v>46296</v>
      </c>
      <c r="B22" s="6" t="n">
        <v>0.4227083333333334</v>
      </c>
      <c r="C22" s="33" t="inlineStr">
        <is>
          <t>İş Bankası</t>
        </is>
      </c>
      <c r="D22" s="8" t="n">
        <v>48.4063</v>
      </c>
      <c r="E22" s="8" t="n">
        <v>49.5808</v>
      </c>
      <c r="F22" s="8" t="n">
        <v>1.1745</v>
      </c>
      <c r="G22" s="9" t="n">
        <v>0.02426337067695734</v>
      </c>
      <c r="H22" s="10" t="n">
        <v>54.7716</v>
      </c>
      <c r="I22" s="10" t="n">
        <v>56.1058</v>
      </c>
      <c r="J22" s="10" t="n">
        <v>1.3342</v>
      </c>
      <c r="K22" s="11" t="n">
        <v>0.02435933951171775</v>
      </c>
      <c r="L22" s="12" t="n">
        <v>6479.39</v>
      </c>
      <c r="M22" s="12" t="n">
        <v>6657.01</v>
      </c>
      <c r="N22" s="12" t="n">
        <v>177.62</v>
      </c>
      <c r="O22" s="13" t="n">
        <v>0.0274130743789153</v>
      </c>
    </row>
    <row r="23">
      <c r="A23" s="5" t="n">
        <v>46296</v>
      </c>
      <c r="B23" s="6" t="n">
        <v>0.4227083333333334</v>
      </c>
      <c r="C23" s="34" t="inlineStr">
        <is>
          <t>Kapalıçarşı</t>
        </is>
      </c>
      <c r="D23" s="8" t="n">
        <v>48.97</v>
      </c>
      <c r="E23" s="8" t="n">
        <v>48.99</v>
      </c>
      <c r="F23" s="8" t="n">
        <v>0.02</v>
      </c>
      <c r="G23" s="9" t="n">
        <v>0.0004084133142740453</v>
      </c>
      <c r="H23" s="10" t="n">
        <v>55.5</v>
      </c>
      <c r="I23" s="10" t="n">
        <v>55.55</v>
      </c>
      <c r="J23" s="10" t="n">
        <v>0.05</v>
      </c>
      <c r="K23" s="11" t="n">
        <v>0.0009009009009009008</v>
      </c>
      <c r="L23" s="12" t="n">
        <v>6590.03</v>
      </c>
      <c r="M23" s="12" t="n">
        <v>6597.65</v>
      </c>
      <c r="N23" s="12" t="n">
        <v>7.62</v>
      </c>
      <c r="O23" s="13" t="n">
        <v>0.001156292156484872</v>
      </c>
    </row>
    <row r="24">
      <c r="A24" s="5" t="n">
        <v>46296</v>
      </c>
      <c r="B24" s="6" t="n">
        <v>0.4227083333333334</v>
      </c>
      <c r="C24" s="35" t="inlineStr">
        <is>
          <t>Kuveyt Türk</t>
        </is>
      </c>
      <c r="D24" s="8" t="n">
        <v>48.3536</v>
      </c>
      <c r="E24" s="8" t="n">
        <v>49.3341</v>
      </c>
      <c r="F24" s="8" t="n">
        <v>0.9805</v>
      </c>
      <c r="G24" s="9" t="n">
        <v>0.02027770424539228</v>
      </c>
      <c r="H24" s="10" t="n">
        <v>54.8061</v>
      </c>
      <c r="I24" s="10" t="n">
        <v>55.9194</v>
      </c>
      <c r="J24" s="10" t="n">
        <v>1.1133</v>
      </c>
      <c r="K24" s="11" t="n">
        <v>0.02031343226392682</v>
      </c>
      <c r="L24" s="12" t="n">
        <v>6452.54</v>
      </c>
      <c r="M24" s="12" t="n">
        <v>6623.27</v>
      </c>
      <c r="N24" s="12" t="n">
        <v>170.73</v>
      </c>
      <c r="O24" s="13" t="n">
        <v>0.02645934779172233</v>
      </c>
    </row>
    <row r="25">
      <c r="A25" s="5" t="n">
        <v>46296</v>
      </c>
      <c r="B25" s="6" t="n">
        <v>0.4227083333333334</v>
      </c>
      <c r="C25" s="36" t="inlineStr">
        <is>
          <t>Merkez Bankası</t>
        </is>
      </c>
      <c r="D25" s="8" t="n">
        <v>48.9303</v>
      </c>
      <c r="E25" s="8" t="n">
        <v>49.0184</v>
      </c>
      <c r="F25" s="8" t="n">
        <v>0.0881</v>
      </c>
      <c r="G25" s="9" t="n">
        <v>0.001800520331982432</v>
      </c>
      <c r="H25" s="10" t="n">
        <v>55.5567</v>
      </c>
      <c r="I25" s="10" t="n">
        <v>55.6568</v>
      </c>
      <c r="J25" s="10" t="n">
        <v>0.1001</v>
      </c>
      <c r="K25" s="11" t="n">
        <v>0.001801762883684596</v>
      </c>
      <c r="L25" s="12" t="n"/>
      <c r="M25" s="12" t="n"/>
      <c r="N25" s="12" t="n"/>
      <c r="O25" s="13" t="n"/>
    </row>
    <row r="26">
      <c r="A26" s="5" t="n">
        <v>46296</v>
      </c>
      <c r="B26" s="6" t="n">
        <v>0.4227083333333334</v>
      </c>
      <c r="C26" s="37" t="inlineStr">
        <is>
          <t>Misyon Bank</t>
        </is>
      </c>
      <c r="D26" s="8" t="n">
        <v>48.9434</v>
      </c>
      <c r="E26" s="8" t="n">
        <v>49.0326</v>
      </c>
      <c r="F26" s="8" t="n">
        <v>0.0892</v>
      </c>
      <c r="G26" s="9" t="n">
        <v>0.001822513352157799</v>
      </c>
      <c r="H26" s="10" t="n">
        <v>55.3401</v>
      </c>
      <c r="I26" s="10" t="n">
        <v>55.4927</v>
      </c>
      <c r="J26" s="10" t="n">
        <v>0.1526</v>
      </c>
      <c r="K26" s="11" t="n">
        <v>0.002757494113671641</v>
      </c>
      <c r="L26" s="12" t="n">
        <v>6529.79</v>
      </c>
      <c r="M26" s="12" t="n">
        <v>6564.83</v>
      </c>
      <c r="N26" s="12" t="n">
        <v>35.04</v>
      </c>
      <c r="O26" s="13" t="n">
        <v>0.005366175635051051</v>
      </c>
    </row>
    <row r="27">
      <c r="A27" s="5" t="n">
        <v>46296</v>
      </c>
      <c r="B27" s="6" t="n">
        <v>0.4227083333333334</v>
      </c>
      <c r="C27" s="38" t="inlineStr">
        <is>
          <t>Odacı</t>
        </is>
      </c>
      <c r="D27" s="8" t="n">
        <v>48.962</v>
      </c>
      <c r="E27" s="8" t="n">
        <v>49.088</v>
      </c>
      <c r="F27" s="8" t="n">
        <v>0.126</v>
      </c>
      <c r="G27" s="9" t="n">
        <v>0.002573424288223521</v>
      </c>
      <c r="H27" s="10" t="n">
        <v>55.303</v>
      </c>
      <c r="I27" s="10" t="n">
        <v>55.499</v>
      </c>
      <c r="J27" s="10" t="n">
        <v>0.196</v>
      </c>
      <c r="K27" s="11" t="n">
        <v>0.003544111531020017</v>
      </c>
      <c r="L27" s="12" t="n">
        <v>6570</v>
      </c>
      <c r="M27" s="12" t="n">
        <v>6613</v>
      </c>
      <c r="N27" s="12" t="n">
        <v>43</v>
      </c>
      <c r="O27" s="13" t="n">
        <v>0.00654490106544901</v>
      </c>
    </row>
    <row r="28">
      <c r="A28" s="5" t="n">
        <v>46296</v>
      </c>
      <c r="B28" s="6" t="n">
        <v>0.4227083333333334</v>
      </c>
      <c r="C28" s="39" t="inlineStr">
        <is>
          <t>Odeabank</t>
        </is>
      </c>
      <c r="D28" s="8" t="n">
        <v>48.499</v>
      </c>
      <c r="E28" s="8" t="n">
        <v>49.499</v>
      </c>
      <c r="F28" s="8" t="n">
        <v>1</v>
      </c>
      <c r="G28" s="9" t="n">
        <v>0.020618981834677</v>
      </c>
      <c r="H28" s="10" t="n">
        <v>54.895</v>
      </c>
      <c r="I28" s="10" t="n">
        <v>55.985</v>
      </c>
      <c r="J28" s="10" t="n">
        <v>1.09</v>
      </c>
      <c r="K28" s="11" t="n">
        <v>0.01985608889698515</v>
      </c>
      <c r="L28" s="12" t="n">
        <v>6535.64</v>
      </c>
      <c r="M28" s="12" t="n">
        <v>6635.64</v>
      </c>
      <c r="N28" s="12" t="n">
        <v>100</v>
      </c>
      <c r="O28" s="13" t="n">
        <v>0.01530072035791445</v>
      </c>
    </row>
    <row r="29">
      <c r="A29" s="5" t="n">
        <v>46296</v>
      </c>
      <c r="B29" s="6" t="n">
        <v>0.4227083333333334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6540.02</v>
      </c>
      <c r="M29" s="12" t="n">
        <v>6718.36</v>
      </c>
      <c r="N29" s="12" t="n">
        <v>178.34</v>
      </c>
      <c r="O29" s="13" t="n">
        <v>0.02726902975831878</v>
      </c>
    </row>
    <row r="30">
      <c r="A30" s="5" t="n">
        <v>46296</v>
      </c>
      <c r="B30" s="6" t="n">
        <v>0.4227083333333334</v>
      </c>
      <c r="C30" s="41" t="inlineStr">
        <is>
          <t>QNB Finansbank</t>
        </is>
      </c>
      <c r="D30" s="8" t="n">
        <v>48.1745</v>
      </c>
      <c r="E30" s="8" t="n">
        <v>49.6945</v>
      </c>
      <c r="F30" s="8" t="n">
        <v>1.52</v>
      </c>
      <c r="G30" s="9" t="n">
        <v>0.03155196213764543</v>
      </c>
      <c r="H30" s="10" t="n">
        <v>54.4046</v>
      </c>
      <c r="I30" s="10" t="n">
        <v>56.3624</v>
      </c>
      <c r="J30" s="10" t="n">
        <v>1.9578</v>
      </c>
      <c r="K30" s="11" t="n">
        <v>0.0359859276605287</v>
      </c>
      <c r="L30" s="12" t="n">
        <v>6427.19</v>
      </c>
      <c r="M30" s="12" t="n">
        <v>6659.16</v>
      </c>
      <c r="N30" s="12" t="n">
        <v>231.97</v>
      </c>
      <c r="O30" s="13" t="n">
        <v>0.03609197798726971</v>
      </c>
    </row>
    <row r="31">
      <c r="A31" s="5" t="n">
        <v>46296</v>
      </c>
      <c r="B31" s="6" t="n">
        <v>0.4227083333333334</v>
      </c>
      <c r="C31" s="42" t="inlineStr">
        <is>
          <t>TOM Bank Hadi</t>
        </is>
      </c>
      <c r="D31" s="8" t="n">
        <v>48.8601</v>
      </c>
      <c r="E31" s="8" t="n">
        <v>49.0808</v>
      </c>
      <c r="F31" s="8" t="n">
        <v>0.2207</v>
      </c>
      <c r="G31" s="9" t="n">
        <v>0.004516978065947471</v>
      </c>
      <c r="H31" s="10" t="n">
        <v>55.2677</v>
      </c>
      <c r="I31" s="10" t="n">
        <v>55.6007</v>
      </c>
      <c r="J31" s="10" t="n">
        <v>0.333</v>
      </c>
      <c r="K31" s="11" t="n">
        <v>0.006025219070089763</v>
      </c>
      <c r="L31" s="12" t="n">
        <v>6554.39</v>
      </c>
      <c r="M31" s="12" t="n">
        <v>6646.15</v>
      </c>
      <c r="N31" s="12" t="n">
        <v>91.76000000000001</v>
      </c>
      <c r="O31" s="13" t="n">
        <v>0.01399977724853114</v>
      </c>
    </row>
    <row r="32">
      <c r="A32" s="5" t="n">
        <v>46296</v>
      </c>
      <c r="B32" s="6" t="n">
        <v>0.4227083333333334</v>
      </c>
      <c r="C32" s="43" t="inlineStr">
        <is>
          <t>Türkiye Finans</t>
        </is>
      </c>
      <c r="D32" s="8" t="n">
        <v>48.5884</v>
      </c>
      <c r="E32" s="8" t="n">
        <v>49.3909</v>
      </c>
      <c r="F32" s="8" t="n">
        <v>0.8025</v>
      </c>
      <c r="G32" s="9" t="n">
        <v>0.01651628783824946</v>
      </c>
      <c r="H32" s="10" t="n">
        <v>54.9974</v>
      </c>
      <c r="I32" s="10" t="n">
        <v>55.848</v>
      </c>
      <c r="J32" s="10" t="n">
        <v>0.8506</v>
      </c>
      <c r="K32" s="11" t="n">
        <v>0.01546618567423187</v>
      </c>
      <c r="L32" s="12" t="n">
        <v>6484.91</v>
      </c>
      <c r="M32" s="12" t="n">
        <v>6681.38</v>
      </c>
      <c r="N32" s="12" t="n">
        <v>196.47</v>
      </c>
      <c r="O32" s="13" t="n">
        <v>0.03029648830901277</v>
      </c>
    </row>
    <row r="33">
      <c r="A33" s="5" t="n">
        <v>46296</v>
      </c>
      <c r="B33" s="6" t="n">
        <v>0.4227083333333334</v>
      </c>
      <c r="C33" s="44" t="inlineStr">
        <is>
          <t>Vakıf Katılım</t>
        </is>
      </c>
      <c r="D33" s="8" t="n">
        <v>48.8895</v>
      </c>
      <c r="E33" s="8" t="n">
        <v>49.0958</v>
      </c>
      <c r="F33" s="8" t="n">
        <v>0.2063</v>
      </c>
      <c r="G33" s="9" t="n">
        <v>0.004219719980772967</v>
      </c>
      <c r="H33" s="10" t="n">
        <v>55.3123</v>
      </c>
      <c r="I33" s="10" t="n">
        <v>55.5352</v>
      </c>
      <c r="J33" s="10" t="n">
        <v>0.2229</v>
      </c>
      <c r="K33" s="11" t="n">
        <v>0.004029845079665825</v>
      </c>
      <c r="L33" s="12" t="n">
        <v>6524</v>
      </c>
      <c r="M33" s="12" t="n">
        <v>6576.4</v>
      </c>
      <c r="N33" s="12" t="n">
        <v>52.4</v>
      </c>
      <c r="O33" s="13" t="n">
        <v>0.008031882280809319</v>
      </c>
    </row>
    <row r="34">
      <c r="A34" s="5" t="n">
        <v>46296</v>
      </c>
      <c r="B34" s="6" t="n">
        <v>0.4227083333333334</v>
      </c>
      <c r="C34" s="45" t="inlineStr">
        <is>
          <t>Vakıfbank</t>
        </is>
      </c>
      <c r="D34" s="8" t="n">
        <v>48.624</v>
      </c>
      <c r="E34" s="8" t="n">
        <v>49.6077</v>
      </c>
      <c r="F34" s="8" t="n">
        <v>0.9837</v>
      </c>
      <c r="G34" s="9" t="n">
        <v>0.02023075024679171</v>
      </c>
      <c r="H34" s="10" t="n">
        <v>55.0099</v>
      </c>
      <c r="I34" s="10" t="n">
        <v>56.126</v>
      </c>
      <c r="J34" s="10" t="n">
        <v>1.1161</v>
      </c>
      <c r="K34" s="11" t="n">
        <v>0.02028907523918422</v>
      </c>
      <c r="L34" s="12" t="n">
        <v>6489.88</v>
      </c>
      <c r="M34" s="12" t="n">
        <v>6632.48</v>
      </c>
      <c r="N34" s="12" t="n">
        <v>142.6</v>
      </c>
      <c r="O34" s="13" t="n">
        <v>0.02197267129746621</v>
      </c>
    </row>
    <row r="35">
      <c r="A35" s="5" t="n">
        <v>46296</v>
      </c>
      <c r="B35" s="6" t="n">
        <v>0.4227083333333334</v>
      </c>
      <c r="C35" s="46" t="inlineStr">
        <is>
          <t>Venüs</t>
        </is>
      </c>
      <c r="D35" s="8" t="n">
        <v>48.972</v>
      </c>
      <c r="E35" s="8" t="n">
        <v>49.028</v>
      </c>
      <c r="F35" s="8" t="n">
        <v>0.056</v>
      </c>
      <c r="G35" s="9" t="n">
        <v>0.001143510577472842</v>
      </c>
      <c r="H35" s="10" t="n">
        <v>55.323</v>
      </c>
      <c r="I35" s="10" t="n">
        <v>55.46</v>
      </c>
      <c r="J35" s="10" t="n">
        <v>0.137</v>
      </c>
      <c r="K35" s="11" t="n">
        <v>0.002476366068362164</v>
      </c>
      <c r="L35" s="12" t="n"/>
      <c r="M35" s="12" t="n"/>
      <c r="N35" s="12" t="n"/>
      <c r="O35" s="13" t="n"/>
    </row>
    <row r="36">
      <c r="A36" s="5" t="n">
        <v>46296</v>
      </c>
      <c r="B36" s="6" t="n">
        <v>0.4227083333333334</v>
      </c>
      <c r="C36" s="47" t="inlineStr">
        <is>
          <t>Yapıkredi</t>
        </is>
      </c>
      <c r="D36" s="8" t="n">
        <v>48.39</v>
      </c>
      <c r="E36" s="8" t="n">
        <v>49.39</v>
      </c>
      <c r="F36" s="8" t="n">
        <v>1</v>
      </c>
      <c r="G36" s="9" t="n">
        <v>0.0206654267410622</v>
      </c>
      <c r="H36" s="10" t="n">
        <v>54.75</v>
      </c>
      <c r="I36" s="10" t="n">
        <v>55.88</v>
      </c>
      <c r="J36" s="10" t="n">
        <v>1.13</v>
      </c>
      <c r="K36" s="11" t="n">
        <v>0.0206392694063927</v>
      </c>
      <c r="L36" s="12" t="n">
        <v>6466.02</v>
      </c>
      <c r="M36" s="12" t="n">
        <v>6667.07</v>
      </c>
      <c r="N36" s="12" t="n">
        <v>201.05</v>
      </c>
      <c r="O36" s="13" t="n">
        <v>0.03109331551711872</v>
      </c>
    </row>
    <row r="37">
      <c r="A37" s="5" t="n">
        <v>46296</v>
      </c>
      <c r="B37" s="6" t="n">
        <v>0.4227083333333334</v>
      </c>
      <c r="C37" s="48" t="inlineStr">
        <is>
          <t>Ziraat Bankası</t>
        </is>
      </c>
      <c r="D37" s="8" t="n">
        <v>48.6224</v>
      </c>
      <c r="E37" s="8" t="n">
        <v>49.606</v>
      </c>
      <c r="F37" s="8" t="n">
        <v>0.9836</v>
      </c>
      <c r="G37" s="9" t="n">
        <v>0.02022935930764421</v>
      </c>
      <c r="H37" s="10" t="n">
        <v>55.0082</v>
      </c>
      <c r="I37" s="10" t="n">
        <v>56.121</v>
      </c>
      <c r="J37" s="10" t="n">
        <v>1.1128</v>
      </c>
      <c r="K37" s="11" t="n">
        <v>0.02022971120669282</v>
      </c>
      <c r="L37" s="12" t="n">
        <v>6530.98</v>
      </c>
      <c r="M37" s="12" t="n">
        <v>6662.85</v>
      </c>
      <c r="N37" s="12" t="n">
        <v>131.87</v>
      </c>
      <c r="O37" s="13" t="n">
        <v>0.02019145671859354</v>
      </c>
    </row>
    <row r="38">
      <c r="A38" s="5" t="n">
        <v>46296</v>
      </c>
      <c r="B38" s="6" t="n">
        <v>0.4227083333333334</v>
      </c>
      <c r="C38" s="49" t="inlineStr">
        <is>
          <t>Ziraat Dinamik</t>
        </is>
      </c>
      <c r="D38" s="8" t="n">
        <v>48.671</v>
      </c>
      <c r="E38" s="8" t="n">
        <v>49.3332</v>
      </c>
      <c r="F38" s="8" t="n">
        <v>0.6622</v>
      </c>
      <c r="G38" s="9" t="n">
        <v>0.01360563785416367</v>
      </c>
      <c r="H38" s="10" t="n">
        <v>55.0093</v>
      </c>
      <c r="I38" s="10" t="n">
        <v>55.8135</v>
      </c>
      <c r="J38" s="10" t="n">
        <v>0.8042</v>
      </c>
      <c r="K38" s="11" t="n">
        <v>0.01461934618328174</v>
      </c>
      <c r="L38" s="12" t="n">
        <v>6493.3</v>
      </c>
      <c r="M38" s="12" t="n">
        <v>6624.41</v>
      </c>
      <c r="N38" s="12" t="n">
        <v>131.11</v>
      </c>
      <c r="O38" s="13" t="n">
        <v>0.02019158209231053</v>
      </c>
    </row>
    <row r="39">
      <c r="A39" s="5" t="n">
        <v>46296</v>
      </c>
      <c r="B39" s="6" t="n">
        <v>0.4227083333333334</v>
      </c>
      <c r="C39" s="50" t="inlineStr">
        <is>
          <t>Ziraat Katılım</t>
        </is>
      </c>
      <c r="D39" s="8" t="n">
        <v>48.498</v>
      </c>
      <c r="E39" s="8" t="n">
        <v>49.51</v>
      </c>
      <c r="F39" s="8" t="n">
        <v>1.012</v>
      </c>
      <c r="G39" s="9" t="n">
        <v>0.02086683986968535</v>
      </c>
      <c r="H39" s="10" t="n">
        <v>54.831</v>
      </c>
      <c r="I39" s="10" t="n">
        <v>56.0305</v>
      </c>
      <c r="J39" s="10" t="n">
        <v>1.1995</v>
      </c>
      <c r="K39" s="11" t="n">
        <v>0.02187631084605424</v>
      </c>
      <c r="L39" s="12" t="n">
        <v>6513.72</v>
      </c>
      <c r="M39" s="12" t="n">
        <v>6720.43</v>
      </c>
      <c r="N39" s="12" t="n">
        <v>206.71</v>
      </c>
      <c r="O39" s="13" t="n">
        <v>0.03173455414110524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</hyperlinks>
  <pageMargins left="0.75" right="0.75" top="1" bottom="1" header="0.5" footer="0.5"/>
  <tableParts count="1">
    <tablePart xmlns:r="http://schemas.openxmlformats.org/officeDocument/2006/relationships" r:id="rId377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0.4227083333333334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0.02022935930764421</v>
      </c>
      <c r="O5" s="73" t="inlineStr">
        <is>
          <t>Ziraat Bankası</t>
        </is>
      </c>
      <c r="P5" s="74" t="n">
        <v>48.6224</v>
      </c>
      <c r="Q5" s="74" t="n">
        <v>49.606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0.02022971120669282</v>
      </c>
      <c r="O6" s="73" t="inlineStr">
        <is>
          <t>Ziraat Bankası</t>
        </is>
      </c>
      <c r="P6" s="74" t="n">
        <v>55.0082</v>
      </c>
      <c r="Q6" s="74" t="n">
        <v>56.121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0.02019145671859354</v>
      </c>
      <c r="O7" s="73" t="inlineStr">
        <is>
          <t>Ziraat Bankası</t>
        </is>
      </c>
      <c r="P7" s="74" t="n">
        <v>6530.98</v>
      </c>
      <c r="Q7" s="74" t="n">
        <v>6662.85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0.02801352949720902</v>
      </c>
      <c r="I15" s="69" t="n">
        <v>0.02801613494682802</v>
      </c>
      <c r="J15" s="70" t="n">
        <v>0.03678424618885589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0.02798623491852896</v>
      </c>
      <c r="I16" s="69" t="n">
        <v>0.02807653907101573</v>
      </c>
      <c r="J16" s="70" t="n">
        <v>0.03558343969094737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0.0206654267410622</v>
      </c>
      <c r="I17" s="69" t="n">
        <v>0.0206392694063927</v>
      </c>
      <c r="J17" s="70" t="n">
        <v>0.03109331551711872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0.02022935930764421</v>
      </c>
      <c r="I18" s="69" t="n">
        <v>0.02022971120669282</v>
      </c>
      <c r="J18" s="70" t="n">
        <v>0.02019145671859354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0.02426337067695734</v>
      </c>
      <c r="I19" s="69" t="n">
        <v>0.02435933951171775</v>
      </c>
      <c r="J19" s="70" t="n">
        <v>0.0274130743789153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0.02801352949720902</v>
      </c>
      <c r="V4" s="55" t="n">
        <v>0.02798623491852896</v>
      </c>
      <c r="W4" s="55" t="n">
        <v>0.0206654267410622</v>
      </c>
      <c r="X4" s="55" t="n">
        <v>0.02022935930764421</v>
      </c>
      <c r="Y4" s="55" t="n">
        <v>0.02426337067695734</v>
      </c>
      <c r="Z4" s="55" t="n">
        <v>0.02801613494682802</v>
      </c>
      <c r="AA4" s="55" t="n">
        <v>0.02807653907101573</v>
      </c>
      <c r="AB4" s="55" t="n">
        <v>0.0206392694063927</v>
      </c>
      <c r="AC4" s="55" t="n">
        <v>0.02022971120669282</v>
      </c>
      <c r="AD4" s="55" t="n">
        <v>0.02435933951171775</v>
      </c>
      <c r="AE4" s="55" t="n">
        <v>0.03678424618885589</v>
      </c>
      <c r="AF4" s="55" t="n">
        <v>0.03558343969094737</v>
      </c>
      <c r="AG4" s="55" t="n">
        <v>0.03109331551711872</v>
      </c>
      <c r="AH4" s="55" t="n">
        <v>0.02019145671859354</v>
      </c>
      <c r="AI4" s="55" t="n">
        <v>0.0274130743789153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2026-10-01T07:09:23Z</dcterms:created>
  <dcterms:modified xsi:type="dcterms:W3CDTF">2026-10-01T07:09:23Z</dcterms:modified>
</cp:coreProperties>
</file>